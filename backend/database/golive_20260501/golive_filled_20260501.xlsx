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in_Stock" sheetId="2" r:id="rId5"/>
    <sheet state="visible" name="User_Stock" sheetId="3" r:id="rId6"/>
    <sheet state="hidden" name="ชีต1" sheetId="4" r:id="rId7"/>
    <sheet state="hidden" name="ชีต2" sheetId="5" r:id="rId8"/>
  </sheets>
  <definedNames>
    <definedName hidden="1" localSheetId="2" name="_xlnm._FilterDatabase">User_Stock!$A$4:$G$89</definedName>
    <definedName hidden="1" localSheetId="3" name="_xlnm._FilterDatabase">'ชีต1'!$A$1:$G$30</definedName>
    <definedName hidden="1" localSheetId="4" name="_xlnm._FilterDatabase">'ชีต2'!$A$1:$Z$85</definedName>
  </definedNames>
  <calcPr/>
  <extLst>
    <ext uri="GoogleSheetsCustomDataVersion2">
      <go:sheetsCustomData xmlns:go="http://customooxmlschemas.google.com/" r:id="rId9" roundtripDataChecksum="A2fLzSBY4+ZefTU9O0yqaVoQGctD0XyRnrIbiQUXRSI="/>
    </ext>
  </extLst>
</workbook>
</file>

<file path=xl/sharedStrings.xml><?xml version="1.0" encoding="utf-8"?>
<sst xmlns="http://schemas.openxmlformats.org/spreadsheetml/2006/main" count="565" uniqueCount="136">
  <si>
    <t>📋 DivisionX Card · Go-Live Template (1 พ.ค. 2026)</t>
  </si>
  <si>
    <t>Flow ใหม่ — เริ่มเติมตู้ก่อน · ระบบดึงสต็อกตู้จาก VMS อัตโนมัติ</t>
  </si>
  <si>
    <t>1) แอดมินเติมของจริงในตู้ทุกตู้ให้เต็ม (เช้า ~07:00-08:30)</t>
  </si>
  <si>
    <t>2) ทีมเทคกด 'ดึงข้อมูล VMS' บนเว็บ → รอ ~1 นาที</t>
  </si>
  <si>
    <t>3) ตรวจหน้า 'สต็อกหน้าตู้' ว่าระบบเห็นตรงกับ VMS</t>
  </si>
  <si>
    <t>4) แอดมินนับสต็อกที่เหลือในมือ (User_Stock) + นับ Main → กรอกใน Excel นี้</t>
  </si>
  <si>
    <t>5) Save → ส่งไฟล์ให้ทีมเทค → reset + seed → go-live</t>
  </si>
  <si>
    <t>วิธีกรอก Sheet 'Main_Stock'</t>
  </si>
  <si>
    <t>• Main เก็บเฉพาะ Cotton + Box · ไม่มีซองเศษ (เศษซองทั้งหมดอยู่ที่ User)</t>
  </si>
  <si>
    <t>• full_cottons = ลังใหญ่ครบ (1 cotton = 12 box · OP/EB = 144 packs · PRB = 120 packs)</t>
  </si>
  <si>
    <t>• full_boxes = กล่องครบที่ไม่ได้อยู่ในลัง</t>
  </si>
  <si>
    <t>• total_packs = ระบบคำนวณให้อัตโนมัติ</t>
  </si>
  <si>
    <t>• unit_cost_per_pack = ราคาทุน/ซอง (ใบเสร็จล่าสุด)</t>
  </si>
  <si>
    <t>• ถ้าไม่มี SKU ไหนเลย ใส่ 0 ทุกช่อง</t>
  </si>
  <si>
    <t>วิธีกรอก Sheet 'User_Stock'</t>
  </si>
  <si>
    <t>• User เก็บได้ทั้ง Cotton/Box/Pack · กรอกแยกหน่วย</t>
  </si>
  <si>
    <t>• username ต้องตรงกับ User Reference ด้านล่างของ sheet</t>
  </si>
  <si>
    <t>• 1 row = 1 ผู้ใช้ × 1 SKU (เพิ่ม row ตามต้องการ)</t>
  </si>
  <si>
    <t>• full_cottons + full_boxes + loose_packs = ของที่ผู้ใช้คนนั้น 'เหลือในมือ' หลังเติมตู้</t>
  </si>
  <si>
    <t>• total_packs = ระบบคำนวณให้อัตโนมัติ (VLOOKUP packs_per_box จาก SKU Reference)</t>
  </si>
  <si>
    <t>• ถ้าผู้ใช้ไม่มี SKU ใดเลย ข้ามได้</t>
  </si>
  <si>
    <t>• User เก็บได้ทั้ง Cotton/Box/Pack · นับรวมเป็น 'ซอง' ทั้งหมด</t>
  </si>
  <si>
    <t>• ใส่จำนวน 'ซองรวม' ที่ผู้ใช้ถือเหลือในมือ (หลังเติมตู้แล้ว)</t>
  </si>
  <si>
    <t>ห้ามแก้</t>
  </si>
  <si>
    <t>• Sheet README นี้</t>
  </si>
  <si>
    <t>• Column A-D ใน Main_Stock (sku_id / series / packs_per_box / packs_per_cotton)</t>
  </si>
  <si>
    <t>• User Reference ด้านล่าง User_Stock</t>
  </si>
  <si>
    <t>คำถาม</t>
  </si>
  <si>
    <t>ถ้าไม่แน่ใจ → สอบถามก่อนครับ · ตัวเลขผิดยอดสต็อกพังหมดเดือน</t>
  </si>
  <si>
    <t>📦 สต็อกใน Main (คลังหลัก) ณ เช้าวันที่ 1 พ.ค. 2026</t>
  </si>
  <si>
    <t>Main เก็บเฉพาะ Cotton + Box · ไม่มีซองเศษ (เศษอยู่ที่ User) · กรอก full_cottons (ลังใหญ่) + full_boxes (กล่อง) + unit_cost_per_pack (ราคาใบเสร็จล่าสุด)</t>
  </si>
  <si>
    <t>sku_id</t>
  </si>
  <si>
    <t>series</t>
  </si>
  <si>
    <t>packs_per_box</t>
  </si>
  <si>
    <t>packs_per_cotton</t>
  </si>
  <si>
    <t>full_cottons</t>
  </si>
  <si>
    <t>full_boxes</t>
  </si>
  <si>
    <t>total_packs (auto)</t>
  </si>
  <si>
    <t>unit_cost_per_pack</t>
  </si>
  <si>
    <t>note</t>
  </si>
  <si>
    <t>OP 01</t>
  </si>
  <si>
    <t>OP</t>
  </si>
  <si>
    <t>OP 02</t>
  </si>
  <si>
    <t>OP 03</t>
  </si>
  <si>
    <t>OP 04</t>
  </si>
  <si>
    <t>OP 05</t>
  </si>
  <si>
    <t>OP 06</t>
  </si>
  <si>
    <t>OP 07</t>
  </si>
  <si>
    <t>OP 08</t>
  </si>
  <si>
    <t>OP 09</t>
  </si>
  <si>
    <t>OP 10</t>
  </si>
  <si>
    <t>OP 11</t>
  </si>
  <si>
    <t>OP 12</t>
  </si>
  <si>
    <t>OP 13</t>
  </si>
  <si>
    <t>OP 14</t>
  </si>
  <si>
    <t>OP 15</t>
  </si>
  <si>
    <t>EB 01</t>
  </si>
  <si>
    <t>EB</t>
  </si>
  <si>
    <t>EB 02</t>
  </si>
  <si>
    <t>EB 03</t>
  </si>
  <si>
    <t>EB 04</t>
  </si>
  <si>
    <t>PRB 01</t>
  </si>
  <si>
    <t>PRB</t>
  </si>
  <si>
    <t>PRB 02</t>
  </si>
  <si>
    <t>👤 สต็อกที่แอดมินแต่ละคนถือเหลือ (หลังเติมตู้แล้ว) · ณ เช้า 1 พ.ค. 2026</t>
  </si>
  <si>
    <t>เพิ่ม 1 row ต่อ (ผู้ใช้, SKU) · กรอก full_cottons + full_boxes + loose_packs · ระบบคำนวณ total_packs ให้เอง (ดู SKU Reference ด้านล่างเพื่อเทียบขนาด)</t>
  </si>
  <si>
    <t>username</t>
  </si>
  <si>
    <t>loose_packs</t>
  </si>
  <si>
    <t>🎴 SKU Reference (อ้างอิง)</t>
  </si>
  <si>
    <t>aofwara66</t>
  </si>
  <si>
    <t>mzadiz1989</t>
  </si>
  <si>
    <t>power23n</t>
  </si>
  <si>
    <t>tueza5432</t>
  </si>
  <si>
    <t>👥 User Reference (อ้างอิง · อย่าแก้)</t>
  </si>
  <si>
    <t>display_name</t>
  </si>
  <si>
    <t>role</t>
  </si>
  <si>
    <t>divisionxcard</t>
  </si>
  <si>
    <t>DivisionX Card</t>
  </si>
  <si>
    <t>admin</t>
  </si>
  <si>
    <t>T</t>
  </si>
  <si>
    <t>AOFSEN</t>
  </si>
  <si>
    <t>user</t>
  </si>
  <si>
    <t>พี่ M</t>
  </si>
  <si>
    <t>M-zadiz</t>
  </si>
  <si>
    <t>สต็อกหน้าตู้ทั้งหมด</t>
  </si>
  <si>
    <t>One Piece EB - 01</t>
  </si>
  <si>
    <t>44 ซอง</t>
  </si>
  <si>
    <t>One Piece EB - 02</t>
  </si>
  <si>
    <t>42 ซอง</t>
  </si>
  <si>
    <t>One Piece EB - 03</t>
  </si>
  <si>
    <t>84 ซอง</t>
  </si>
  <si>
    <t>One Piece EB - 04</t>
  </si>
  <si>
    <t>66 ซอง</t>
  </si>
  <si>
    <t>ONE PIECE OP - 01</t>
  </si>
  <si>
    <t>43 ซอง</t>
  </si>
  <si>
    <t>ONE PIECE OP - 02</t>
  </si>
  <si>
    <t>45 ซอง</t>
  </si>
  <si>
    <t>ONE PIECE OP - 03</t>
  </si>
  <si>
    <t>ONE PIECE OP - 04</t>
  </si>
  <si>
    <t>-</t>
  </si>
  <si>
    <t>20 ซอง</t>
  </si>
  <si>
    <t>ONE PIECE OP - 05</t>
  </si>
  <si>
    <t>0 ซอง</t>
  </si>
  <si>
    <t>ONE PIECE OP - 06</t>
  </si>
  <si>
    <t>40 ซอง</t>
  </si>
  <si>
    <t>ONE PIECE OP - 07</t>
  </si>
  <si>
    <t>One Piece OP - 08 Box</t>
  </si>
  <si>
    <t>32 กล่อง</t>
  </si>
  <si>
    <t>ONE PIECE OP - 08</t>
  </si>
  <si>
    <t>39 ซอง</t>
  </si>
  <si>
    <t>One Piece OP - 09 Box</t>
  </si>
  <si>
    <t>42 กล่อง</t>
  </si>
  <si>
    <t>ONE PIECE OP - 09</t>
  </si>
  <si>
    <t>83 ซอง</t>
  </si>
  <si>
    <t>One Piece OP - 10</t>
  </si>
  <si>
    <t>63 ซอง</t>
  </si>
  <si>
    <t>One Piece OP - 11</t>
  </si>
  <si>
    <t>One Piece OP - 12</t>
  </si>
  <si>
    <t>One Piece OP - 13 Box</t>
  </si>
  <si>
    <t>61 กล่อง</t>
  </si>
  <si>
    <t>One Piece OP - 13</t>
  </si>
  <si>
    <t>203 ซอง</t>
  </si>
  <si>
    <t>One Piece OP - 14</t>
  </si>
  <si>
    <t>87 ซอง</t>
  </si>
  <si>
    <t>One Piece OP - 15 Box</t>
  </si>
  <si>
    <t>47 กล่อง</t>
  </si>
  <si>
    <t>One Piece OP - 15</t>
  </si>
  <si>
    <t>249 ซอง</t>
  </si>
  <si>
    <t>One Piece PRB - 01 Box</t>
  </si>
  <si>
    <t>54 กล่อง</t>
  </si>
  <si>
    <t>One Piece PRB - 01</t>
  </si>
  <si>
    <t>98 ซอง</t>
  </si>
  <si>
    <t>One Piece PRB - 02 Box</t>
  </si>
  <si>
    <t>29 กล่อง</t>
  </si>
  <si>
    <t>One Piece PRB - 02</t>
  </si>
  <si>
    <t>107 ซอง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</si>
</sst>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A365D"/>
      <name val="Calibri"/>
      <scheme val="minor"/>
    </font>
    <font>
      <b/>
      <sz val="12.0"/>
      <color rgb="FF2C5282"/>
      <name val="Calibri"/>
      <scheme val="minor"/>
    </font>
    <font>
      <i/>
      <sz val="9.0"/>
      <color rgb="FF718096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0.0"/>
      <color rgb="FF2C5282"/>
      <name val="Calibri"/>
      <scheme val="minor"/>
    </font>
    <font/>
    <font>
      <color theme="1"/>
      <name val="Calibri"/>
      <scheme val="minor"/>
    </font>
    <font>
      <b/>
      <color rgb="FF2C5282"/>
      <name val="Calibri"/>
      <scheme val="minor"/>
    </font>
    <font>
      <b/>
      <color theme="1"/>
      <name val="Calibri"/>
      <scheme val="minor"/>
    </font>
    <font>
      <sz val="8.0"/>
      <color rgb="FFFFFFFF"/>
      <name val="&quot;JetBrains Mono&quot;"/>
    </font>
    <font>
      <sz val="8.0"/>
      <color rgb="FF7A8BA8"/>
      <name val="&quot;IBM Plex Sans Thai&quot;"/>
    </font>
    <font>
      <b/>
      <sz val="9.0"/>
      <color rgb="FF00E5FF"/>
      <name val="&quot;JetBrains Mono&quot;"/>
    </font>
    <font>
      <b/>
      <sz val="9.0"/>
      <color rgb="FFFF4466"/>
      <name val="&quot;JetBrains Mono&quot;"/>
    </font>
  </fonts>
  <fills count="13">
    <fill>
      <patternFill patternType="none"/>
    </fill>
    <fill>
      <patternFill patternType="lightGray"/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  <fill>
      <patternFill patternType="solid">
        <fgColor rgb="FFFFFF00"/>
        <bgColor rgb="FFFFFF00"/>
      </patternFill>
    </fill>
    <fill>
      <patternFill patternType="solid">
        <fgColor rgb="FFE6FFFA"/>
        <bgColor rgb="FFE6FFFA"/>
      </patternFill>
    </fill>
    <fill>
      <patternFill patternType="solid">
        <fgColor rgb="FFFFFAF0"/>
        <bgColor rgb="FFFFFAF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1A2F52"/>
        <bgColor rgb="FF1A2F52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bottom style="thin">
        <color rgb="FF1E3A5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0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0" numFmtId="0" xfId="0" applyAlignment="1" applyFont="1">
      <alignment horizontal="left" readingOrder="0" vertical="center"/>
    </xf>
    <xf borderId="1" fillId="2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left" vertical="center"/>
    </xf>
    <xf borderId="0" fillId="0" fontId="2" numFmtId="0" xfId="0" applyFont="1"/>
    <xf borderId="0" fillId="0" fontId="3" numFmtId="0" xfId="0" applyFont="1"/>
    <xf borderId="2" fillId="3" fontId="6" numFmtId="0" xfId="0" applyBorder="1" applyFont="1"/>
    <xf borderId="3" fillId="0" fontId="7" numFmtId="0" xfId="0" applyBorder="1" applyFont="1"/>
    <xf borderId="0" fillId="7" fontId="5" numFmtId="0" xfId="0" applyFill="1" applyFont="1"/>
    <xf borderId="1" fillId="7" fontId="8" numFmtId="0" xfId="0" applyAlignment="1" applyBorder="1" applyFont="1">
      <alignment readingOrder="0"/>
    </xf>
    <xf borderId="1" fillId="7" fontId="5" numFmtId="0" xfId="0" applyBorder="1" applyFont="1"/>
    <xf borderId="1" fillId="0" fontId="8" numFmtId="0" xfId="0" applyBorder="1" applyFont="1"/>
    <xf borderId="4" fillId="4" fontId="5" numFmtId="0" xfId="0" applyBorder="1" applyFont="1"/>
    <xf borderId="4" fillId="3" fontId="5" numFmtId="0" xfId="0" applyBorder="1" applyFont="1"/>
    <xf borderId="4" fillId="7" fontId="5" numFmtId="0" xfId="0" applyBorder="1" applyFont="1"/>
    <xf borderId="4" fillId="8" fontId="5" numFmtId="0" xfId="0" applyBorder="1" applyFill="1" applyFont="1"/>
    <xf borderId="1" fillId="8" fontId="5" numFmtId="0" xfId="0" applyAlignment="1" applyBorder="1" applyFont="1">
      <alignment readingOrder="0"/>
    </xf>
    <xf borderId="1" fillId="8" fontId="8" numFmtId="0" xfId="0" applyAlignment="1" applyBorder="1" applyFont="1">
      <alignment readingOrder="0"/>
    </xf>
    <xf borderId="1" fillId="8" fontId="5" numFmtId="0" xfId="0" applyBorder="1" applyFont="1"/>
    <xf borderId="1" fillId="6" fontId="5" numFmtId="0" xfId="0" applyBorder="1" applyFont="1"/>
    <xf borderId="4" fillId="9" fontId="5" numFmtId="0" xfId="0" applyBorder="1" applyFill="1" applyFont="1"/>
    <xf borderId="1" fillId="9" fontId="5" numFmtId="0" xfId="0" applyAlignment="1" applyBorder="1" applyFont="1">
      <alignment readingOrder="0"/>
    </xf>
    <xf borderId="1" fillId="9" fontId="5" numFmtId="0" xfId="0" applyBorder="1" applyFont="1"/>
    <xf borderId="0" fillId="6" fontId="5" numFmtId="0" xfId="0" applyFont="1"/>
    <xf borderId="4" fillId="10" fontId="5" numFmtId="0" xfId="0" applyAlignment="1" applyBorder="1" applyFill="1" applyFont="1">
      <alignment readingOrder="0"/>
    </xf>
    <xf borderId="4" fillId="10" fontId="5" numFmtId="0" xfId="0" applyBorder="1" applyFont="1"/>
    <xf borderId="1" fillId="10" fontId="5" numFmtId="0" xfId="0" applyAlignment="1" applyBorder="1" applyFont="1">
      <alignment readingOrder="0"/>
    </xf>
    <xf borderId="1" fillId="10" fontId="5" numFmtId="0" xfId="0" applyBorder="1" applyFont="1"/>
    <xf borderId="0" fillId="10" fontId="5" numFmtId="0" xfId="0" applyAlignment="1" applyFont="1">
      <alignment readingOrder="0"/>
    </xf>
    <xf borderId="0" fillId="0" fontId="9" numFmtId="0" xfId="0" applyFont="1"/>
    <xf borderId="4" fillId="3" fontId="10" numFmtId="0" xfId="0" applyBorder="1" applyFont="1"/>
    <xf borderId="4" fillId="3" fontId="5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5" fillId="11" fontId="11" numFmtId="0" xfId="0" applyAlignment="1" applyBorder="1" applyFill="1" applyFont="1">
      <alignment readingOrder="0"/>
    </xf>
    <xf borderId="5" fillId="11" fontId="12" numFmtId="0" xfId="0" applyAlignment="1" applyBorder="1" applyFont="1">
      <alignment readingOrder="0" shrinkToFit="0" wrapText="0"/>
    </xf>
    <xf borderId="5" fillId="11" fontId="11" numFmtId="0" xfId="0" applyAlignment="1" applyBorder="1" applyFont="1">
      <alignment horizontal="center" readingOrder="0"/>
    </xf>
    <xf borderId="5" fillId="11" fontId="13" numFmtId="0" xfId="0" applyAlignment="1" applyBorder="1" applyFont="1">
      <alignment horizontal="right" readingOrder="0"/>
    </xf>
    <xf borderId="5" fillId="11" fontId="14" numFmtId="0" xfId="0" applyAlignment="1" applyBorder="1" applyFont="1">
      <alignment horizontal="right" readingOrder="0"/>
    </xf>
    <xf borderId="0" fillId="12" fontId="5" numFmtId="0" xfId="0" applyFill="1" applyFont="1"/>
    <xf borderId="4" fillId="12" fontId="5" numFmtId="0" xfId="0" applyBorder="1" applyFont="1"/>
    <xf borderId="1" fillId="12" fontId="5" numFmtId="0" xfId="0" applyAlignment="1" applyBorder="1" applyFont="1">
      <alignment readingOrder="0"/>
    </xf>
    <xf borderId="1" fillId="12" fontId="5" numFmtId="0" xfId="0" applyBorder="1" applyFont="1"/>
    <xf borderId="0" fillId="9" fontId="5" numFmtId="0" xfId="0" applyFont="1"/>
    <xf borderId="0" fillId="7" fontId="8" numFmtId="0" xfId="0" applyAlignment="1" applyFont="1">
      <alignment readingOrder="0"/>
    </xf>
    <xf borderId="0" fillId="12" fontId="5" numFmtId="0" xfId="0" applyAlignment="1" applyFont="1">
      <alignment readingOrder="0"/>
    </xf>
    <xf borderId="0" fillId="9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/>
    </row>
    <row r="10">
      <c r="A10" s="3" t="s">
        <v>7</v>
      </c>
    </row>
    <row r="11">
      <c r="A11" s="4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4" t="s">
        <v>13</v>
      </c>
    </row>
    <row r="17">
      <c r="A17" s="2"/>
    </row>
    <row r="18">
      <c r="A18" s="3" t="s">
        <v>14</v>
      </c>
    </row>
    <row r="19">
      <c r="A19" s="2" t="s">
        <v>15</v>
      </c>
    </row>
    <row r="20">
      <c r="A20" s="2" t="s">
        <v>16</v>
      </c>
    </row>
    <row r="21" ht="15.75" customHeight="1">
      <c r="A21" s="2" t="s">
        <v>17</v>
      </c>
    </row>
    <row r="22" ht="15.75" customHeight="1">
      <c r="A22" s="2" t="s">
        <v>18</v>
      </c>
    </row>
    <row r="23" ht="15.75" customHeight="1">
      <c r="A23" s="2" t="s">
        <v>19</v>
      </c>
    </row>
    <row r="24" ht="15.75" customHeight="1">
      <c r="A24" s="4" t="s">
        <v>20</v>
      </c>
    </row>
    <row r="25" ht="15.75" customHeight="1">
      <c r="A25" s="2"/>
    </row>
    <row r="26" ht="15.75" customHeight="1">
      <c r="A26" s="3" t="s">
        <v>14</v>
      </c>
    </row>
    <row r="27" ht="15.75" customHeight="1">
      <c r="A27" s="2" t="s">
        <v>21</v>
      </c>
    </row>
    <row r="28" ht="15.75" customHeight="1">
      <c r="A28" s="2" t="s">
        <v>22</v>
      </c>
    </row>
    <row r="29" ht="15.75" customHeight="1">
      <c r="A29" s="2"/>
    </row>
    <row r="30" ht="15.75" customHeight="1">
      <c r="A30" s="3" t="s">
        <v>23</v>
      </c>
    </row>
    <row r="31" ht="15.75" customHeight="1">
      <c r="A31" s="2" t="s">
        <v>24</v>
      </c>
    </row>
    <row r="32" ht="15.75" customHeight="1">
      <c r="A32" s="2" t="s">
        <v>25</v>
      </c>
    </row>
    <row r="33" ht="15.75" customHeight="1">
      <c r="A33" s="2" t="s">
        <v>26</v>
      </c>
    </row>
    <row r="34" ht="15.75" customHeight="1">
      <c r="A34" s="2"/>
    </row>
    <row r="35" ht="15.75" customHeight="1">
      <c r="A35" s="3" t="s">
        <v>27</v>
      </c>
    </row>
    <row r="36" ht="15.75" customHeight="1">
      <c r="A36" s="5" t="s">
        <v>28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9.0"/>
    <col customWidth="1" min="3" max="3" width="13.0"/>
    <col customWidth="1" min="4" max="4" width="16.0"/>
    <col customWidth="1" min="5" max="5" width="13.0"/>
    <col customWidth="1" min="6" max="6" width="12.0"/>
    <col customWidth="1" min="7" max="7" width="17.0"/>
    <col customWidth="1" min="8" max="8" width="18.0"/>
    <col customWidth="1" min="9" max="9" width="28.0"/>
    <col customWidth="1" min="10" max="26" width="8.71"/>
  </cols>
  <sheetData>
    <row r="1">
      <c r="A1" s="3" t="s">
        <v>29</v>
      </c>
    </row>
    <row r="2">
      <c r="A2" s="4" t="s">
        <v>30</v>
      </c>
    </row>
    <row r="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>
      <c r="A4" s="7" t="s">
        <v>40</v>
      </c>
      <c r="B4" s="7" t="s">
        <v>41</v>
      </c>
      <c r="C4" s="8">
        <v>24.0</v>
      </c>
      <c r="D4" s="7">
        <f t="shared" ref="D4:D22" si="1">C4*12</f>
        <v>288</v>
      </c>
      <c r="E4" s="9">
        <v>0.0</v>
      </c>
      <c r="F4" s="9">
        <v>3.0</v>
      </c>
      <c r="G4" s="10">
        <v>0.0</v>
      </c>
      <c r="H4" s="9">
        <v>326.04</v>
      </c>
      <c r="I4" s="11"/>
    </row>
    <row r="5">
      <c r="A5" s="7" t="s">
        <v>42</v>
      </c>
      <c r="B5" s="7" t="s">
        <v>41</v>
      </c>
      <c r="C5" s="8">
        <v>24.0</v>
      </c>
      <c r="D5" s="7">
        <f t="shared" si="1"/>
        <v>288</v>
      </c>
      <c r="E5" s="9">
        <v>0.0</v>
      </c>
      <c r="F5" s="9">
        <v>1.0</v>
      </c>
      <c r="G5" s="10">
        <v>0.0</v>
      </c>
      <c r="H5" s="9">
        <v>208.33</v>
      </c>
      <c r="I5" s="11"/>
    </row>
    <row r="6">
      <c r="A6" s="7" t="s">
        <v>43</v>
      </c>
      <c r="B6" s="7" t="s">
        <v>41</v>
      </c>
      <c r="C6" s="8">
        <v>24.0</v>
      </c>
      <c r="D6" s="7">
        <f t="shared" si="1"/>
        <v>288</v>
      </c>
      <c r="E6" s="9">
        <v>0.0</v>
      </c>
      <c r="F6" s="9">
        <v>5.0</v>
      </c>
      <c r="G6" s="10">
        <v>0.0</v>
      </c>
      <c r="H6" s="9">
        <v>207.62</v>
      </c>
      <c r="I6" s="11"/>
    </row>
    <row r="7">
      <c r="A7" s="7" t="s">
        <v>44</v>
      </c>
      <c r="B7" s="7" t="s">
        <v>41</v>
      </c>
      <c r="C7" s="8">
        <v>24.0</v>
      </c>
      <c r="D7" s="7">
        <f t="shared" si="1"/>
        <v>288</v>
      </c>
      <c r="E7" s="9">
        <v>0.0</v>
      </c>
      <c r="F7" s="9">
        <v>9.0</v>
      </c>
      <c r="G7" s="10">
        <v>0.0</v>
      </c>
      <c r="H7" s="9">
        <v>190.97</v>
      </c>
      <c r="I7" s="11"/>
    </row>
    <row r="8">
      <c r="A8" s="7" t="s">
        <v>45</v>
      </c>
      <c r="B8" s="7" t="s">
        <v>41</v>
      </c>
      <c r="C8" s="8">
        <v>24.0</v>
      </c>
      <c r="D8" s="7">
        <f t="shared" si="1"/>
        <v>288</v>
      </c>
      <c r="E8" s="9">
        <v>0.0</v>
      </c>
      <c r="F8" s="9">
        <v>0.0</v>
      </c>
      <c r="G8" s="10">
        <v>0.0</v>
      </c>
      <c r="H8" s="9">
        <v>188.0</v>
      </c>
      <c r="I8" s="11"/>
    </row>
    <row r="9">
      <c r="A9" s="7" t="s">
        <v>46</v>
      </c>
      <c r="B9" s="7" t="s">
        <v>41</v>
      </c>
      <c r="C9" s="8">
        <v>24.0</v>
      </c>
      <c r="D9" s="7">
        <f t="shared" si="1"/>
        <v>288</v>
      </c>
      <c r="E9" s="9">
        <v>0.0</v>
      </c>
      <c r="F9" s="9">
        <v>0.0</v>
      </c>
      <c r="G9" s="10">
        <v>0.0</v>
      </c>
      <c r="H9" s="9">
        <v>187.75</v>
      </c>
      <c r="I9" s="11"/>
    </row>
    <row r="10">
      <c r="A10" s="7" t="s">
        <v>47</v>
      </c>
      <c r="B10" s="7" t="s">
        <v>41</v>
      </c>
      <c r="C10" s="8">
        <v>24.0</v>
      </c>
      <c r="D10" s="7">
        <f t="shared" si="1"/>
        <v>288</v>
      </c>
      <c r="E10" s="9">
        <v>0.0</v>
      </c>
      <c r="F10" s="9">
        <v>6.0</v>
      </c>
      <c r="G10" s="10">
        <v>0.0</v>
      </c>
      <c r="H10" s="9">
        <v>104.16</v>
      </c>
      <c r="I10" s="11"/>
    </row>
    <row r="11">
      <c r="A11" s="7" t="s">
        <v>48</v>
      </c>
      <c r="B11" s="7" t="s">
        <v>41</v>
      </c>
      <c r="C11" s="8">
        <v>24.0</v>
      </c>
      <c r="D11" s="7">
        <f t="shared" si="1"/>
        <v>288</v>
      </c>
      <c r="E11" s="9">
        <v>0.0</v>
      </c>
      <c r="F11" s="9">
        <v>11.0</v>
      </c>
      <c r="G11" s="10">
        <v>0.0</v>
      </c>
      <c r="H11" s="9">
        <v>79.86</v>
      </c>
      <c r="I11" s="11"/>
    </row>
    <row r="12">
      <c r="A12" s="7" t="s">
        <v>49</v>
      </c>
      <c r="B12" s="7" t="s">
        <v>41</v>
      </c>
      <c r="C12" s="8">
        <v>24.0</v>
      </c>
      <c r="D12" s="7">
        <f t="shared" si="1"/>
        <v>288</v>
      </c>
      <c r="E12" s="9">
        <v>0.0</v>
      </c>
      <c r="F12" s="9">
        <v>9.0</v>
      </c>
      <c r="G12" s="10">
        <v>0.0</v>
      </c>
      <c r="H12" s="9">
        <v>184.02</v>
      </c>
      <c r="I12" s="11"/>
    </row>
    <row r="13">
      <c r="A13" s="7" t="s">
        <v>50</v>
      </c>
      <c r="B13" s="7" t="s">
        <v>41</v>
      </c>
      <c r="C13" s="8">
        <v>24.0</v>
      </c>
      <c r="D13" s="7">
        <f t="shared" si="1"/>
        <v>288</v>
      </c>
      <c r="E13" s="9">
        <v>1.0</v>
      </c>
      <c r="F13" s="9">
        <v>4.0</v>
      </c>
      <c r="G13" s="10">
        <v>0.0</v>
      </c>
      <c r="H13" s="9">
        <v>83.33</v>
      </c>
      <c r="I13" s="11"/>
    </row>
    <row r="14">
      <c r="A14" s="7" t="s">
        <v>51</v>
      </c>
      <c r="B14" s="7" t="s">
        <v>41</v>
      </c>
      <c r="C14" s="8">
        <v>24.0</v>
      </c>
      <c r="D14" s="7">
        <f t="shared" si="1"/>
        <v>288</v>
      </c>
      <c r="E14" s="9">
        <v>1.0</v>
      </c>
      <c r="F14" s="9">
        <v>5.0</v>
      </c>
      <c r="G14" s="10">
        <v>0.0</v>
      </c>
      <c r="H14" s="9">
        <v>246.52</v>
      </c>
      <c r="I14" s="11"/>
    </row>
    <row r="15">
      <c r="A15" s="7" t="s">
        <v>52</v>
      </c>
      <c r="B15" s="7" t="s">
        <v>41</v>
      </c>
      <c r="C15" s="8">
        <v>24.0</v>
      </c>
      <c r="D15" s="7">
        <f t="shared" si="1"/>
        <v>288</v>
      </c>
      <c r="E15" s="9">
        <v>0.0</v>
      </c>
      <c r="F15" s="9">
        <v>6.0</v>
      </c>
      <c r="G15" s="10">
        <v>0.0</v>
      </c>
      <c r="H15" s="9">
        <v>121.52</v>
      </c>
      <c r="I15" s="11"/>
    </row>
    <row r="16">
      <c r="A16" s="7" t="s">
        <v>53</v>
      </c>
      <c r="B16" s="7" t="s">
        <v>41</v>
      </c>
      <c r="C16" s="8">
        <v>24.0</v>
      </c>
      <c r="D16" s="7">
        <f t="shared" si="1"/>
        <v>288</v>
      </c>
      <c r="E16" s="9">
        <v>5.0</v>
      </c>
      <c r="F16" s="9">
        <v>9.0</v>
      </c>
      <c r="G16" s="10">
        <v>0.0</v>
      </c>
      <c r="H16" s="9">
        <v>232.63</v>
      </c>
      <c r="I16" s="11"/>
    </row>
    <row r="17">
      <c r="A17" s="7" t="s">
        <v>54</v>
      </c>
      <c r="B17" s="7" t="s">
        <v>41</v>
      </c>
      <c r="C17" s="8">
        <v>24.0</v>
      </c>
      <c r="D17" s="7">
        <f t="shared" si="1"/>
        <v>288</v>
      </c>
      <c r="E17" s="9">
        <v>0.0</v>
      </c>
      <c r="F17" s="9">
        <v>11.0</v>
      </c>
      <c r="G17" s="10">
        <v>0.0</v>
      </c>
      <c r="H17" s="9">
        <v>118.05</v>
      </c>
      <c r="I17" s="11"/>
    </row>
    <row r="18">
      <c r="A18" s="7" t="s">
        <v>55</v>
      </c>
      <c r="B18" s="7" t="s">
        <v>41</v>
      </c>
      <c r="C18" s="8">
        <v>24.0</v>
      </c>
      <c r="D18" s="7">
        <f t="shared" si="1"/>
        <v>288</v>
      </c>
      <c r="E18" s="9">
        <v>1.0</v>
      </c>
      <c r="F18" s="9">
        <v>0.0</v>
      </c>
      <c r="G18" s="10">
        <v>0.0</v>
      </c>
      <c r="H18" s="9">
        <v>118.05</v>
      </c>
      <c r="I18" s="11"/>
    </row>
    <row r="19">
      <c r="A19" s="7" t="s">
        <v>56</v>
      </c>
      <c r="B19" s="7" t="s">
        <v>57</v>
      </c>
      <c r="C19" s="8">
        <v>24.0</v>
      </c>
      <c r="D19" s="7">
        <f t="shared" si="1"/>
        <v>288</v>
      </c>
      <c r="E19" s="9">
        <v>0.0</v>
      </c>
      <c r="F19" s="9">
        <v>0.0</v>
      </c>
      <c r="G19" s="10">
        <v>0.0</v>
      </c>
      <c r="H19" s="9">
        <v>175.0</v>
      </c>
      <c r="I19" s="11"/>
    </row>
    <row r="20">
      <c r="A20" s="7" t="s">
        <v>58</v>
      </c>
      <c r="B20" s="7" t="s">
        <v>57</v>
      </c>
      <c r="C20" s="8">
        <v>24.0</v>
      </c>
      <c r="D20" s="7">
        <f t="shared" si="1"/>
        <v>288</v>
      </c>
      <c r="E20" s="9">
        <v>0.0</v>
      </c>
      <c r="F20" s="9">
        <v>4.0</v>
      </c>
      <c r="G20" s="10">
        <v>0.0</v>
      </c>
      <c r="H20" s="9">
        <v>166.66</v>
      </c>
      <c r="I20" s="11"/>
    </row>
    <row r="21" ht="15.75" customHeight="1">
      <c r="A21" s="7" t="s">
        <v>59</v>
      </c>
      <c r="B21" s="7" t="s">
        <v>57</v>
      </c>
      <c r="C21" s="8">
        <v>24.0</v>
      </c>
      <c r="D21" s="7">
        <f t="shared" si="1"/>
        <v>288</v>
      </c>
      <c r="E21" s="9">
        <v>0.0</v>
      </c>
      <c r="F21" s="9">
        <v>9.0</v>
      </c>
      <c r="G21" s="10">
        <v>0.0</v>
      </c>
      <c r="H21" s="9">
        <v>111.11</v>
      </c>
      <c r="I21" s="11"/>
    </row>
    <row r="22" ht="15.75" customHeight="1">
      <c r="A22" s="7" t="s">
        <v>60</v>
      </c>
      <c r="B22" s="7" t="s">
        <v>57</v>
      </c>
      <c r="C22" s="8">
        <v>24.0</v>
      </c>
      <c r="D22" s="7">
        <f t="shared" si="1"/>
        <v>288</v>
      </c>
      <c r="E22" s="9">
        <v>0.0</v>
      </c>
      <c r="F22" s="9">
        <v>11.0</v>
      </c>
      <c r="G22" s="10">
        <v>0.0</v>
      </c>
      <c r="H22" s="9">
        <v>118.05</v>
      </c>
      <c r="I22" s="11"/>
    </row>
    <row r="23" ht="15.75" customHeight="1">
      <c r="A23" s="7" t="s">
        <v>61</v>
      </c>
      <c r="B23" s="7" t="s">
        <v>62</v>
      </c>
      <c r="C23" s="7">
        <v>10.0</v>
      </c>
      <c r="D23" s="7">
        <f>C23*10</f>
        <v>100</v>
      </c>
      <c r="E23" s="9">
        <v>1.0</v>
      </c>
      <c r="F23" s="9">
        <v>1.0</v>
      </c>
      <c r="G23" s="10">
        <v>0.0</v>
      </c>
      <c r="H23" s="9">
        <v>350.0</v>
      </c>
      <c r="I23" s="11"/>
    </row>
    <row r="24" ht="15.75" customHeight="1">
      <c r="A24" s="7" t="s">
        <v>63</v>
      </c>
      <c r="B24" s="7" t="s">
        <v>62</v>
      </c>
      <c r="C24" s="7">
        <v>10.0</v>
      </c>
      <c r="D24" s="7">
        <f>C24*20</f>
        <v>200</v>
      </c>
      <c r="E24" s="9">
        <v>1.0</v>
      </c>
      <c r="F24" s="9">
        <v>1.0</v>
      </c>
      <c r="G24" s="10">
        <v>0.0</v>
      </c>
      <c r="H24" s="9">
        <v>170.0</v>
      </c>
      <c r="I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15.0"/>
    <col customWidth="1" min="3" max="3" width="13.0"/>
    <col customWidth="1" min="4" max="4" width="18.14"/>
    <col customWidth="1" min="5" max="5" width="17.29"/>
    <col customWidth="1" min="6" max="6" width="22.86"/>
    <col customWidth="1" min="7" max="7" width="28.0"/>
    <col customWidth="1" min="8" max="9" width="8.71"/>
    <col customWidth="1" min="10" max="10" width="10.0"/>
    <col customWidth="1" min="11" max="11" width="22.29"/>
    <col customWidth="1" min="12" max="26" width="8.71"/>
  </cols>
  <sheetData>
    <row r="1">
      <c r="A1" s="12" t="s">
        <v>64</v>
      </c>
    </row>
    <row r="2">
      <c r="A2" s="13" t="s">
        <v>65</v>
      </c>
    </row>
    <row r="4">
      <c r="A4" s="6" t="s">
        <v>66</v>
      </c>
      <c r="B4" s="6" t="s">
        <v>31</v>
      </c>
      <c r="C4" s="6" t="s">
        <v>35</v>
      </c>
      <c r="D4" s="6" t="s">
        <v>36</v>
      </c>
      <c r="E4" s="6" t="s">
        <v>67</v>
      </c>
      <c r="F4" s="6" t="s">
        <v>37</v>
      </c>
      <c r="G4" s="6" t="s">
        <v>39</v>
      </c>
      <c r="J4" s="14" t="s">
        <v>68</v>
      </c>
      <c r="K4" s="15"/>
    </row>
    <row r="5">
      <c r="A5" s="16" t="s">
        <v>69</v>
      </c>
      <c r="B5" s="16" t="s">
        <v>56</v>
      </c>
      <c r="C5" s="17">
        <v>0.0</v>
      </c>
      <c r="D5" s="17">
        <v>0.0</v>
      </c>
      <c r="E5" s="17">
        <v>0.0</v>
      </c>
      <c r="F5" s="18">
        <f t="shared" ref="F5:F88" si="1">IF(B5="","",C5*IFERROR(VLOOKUP(B5,$J$6:$K$26,2,FALSE),0)*12+D5*IFERROR(VLOOKUP(B5,$J$6:$K$26,2,FALSE),0)+E5)</f>
        <v>0</v>
      </c>
      <c r="G5" s="19"/>
      <c r="J5" s="20"/>
      <c r="K5" s="21"/>
    </row>
    <row r="6">
      <c r="A6" s="22" t="s">
        <v>69</v>
      </c>
      <c r="B6" s="22" t="s">
        <v>58</v>
      </c>
      <c r="C6" s="17">
        <v>0.0</v>
      </c>
      <c r="D6" s="17">
        <v>0.0</v>
      </c>
      <c r="E6" s="17">
        <v>0.0</v>
      </c>
      <c r="F6" s="18">
        <f t="shared" si="1"/>
        <v>0</v>
      </c>
      <c r="G6" s="19"/>
      <c r="J6" s="20" t="s">
        <v>40</v>
      </c>
      <c r="K6" s="21">
        <v>12.0</v>
      </c>
    </row>
    <row r="7">
      <c r="A7" s="22" t="s">
        <v>69</v>
      </c>
      <c r="B7" s="22" t="s">
        <v>59</v>
      </c>
      <c r="C7" s="17">
        <v>0.0</v>
      </c>
      <c r="D7" s="17">
        <v>0.0</v>
      </c>
      <c r="E7" s="17">
        <v>0.0</v>
      </c>
      <c r="F7" s="18">
        <f t="shared" si="1"/>
        <v>0</v>
      </c>
      <c r="G7" s="19"/>
      <c r="J7" s="20" t="s">
        <v>42</v>
      </c>
      <c r="K7" s="21">
        <v>12.0</v>
      </c>
    </row>
    <row r="8">
      <c r="A8" s="22" t="s">
        <v>69</v>
      </c>
      <c r="B8" s="22" t="s">
        <v>60</v>
      </c>
      <c r="C8" s="17">
        <v>0.0</v>
      </c>
      <c r="D8" s="17">
        <v>0.0</v>
      </c>
      <c r="E8" s="17">
        <v>0.0</v>
      </c>
      <c r="F8" s="18">
        <f t="shared" si="1"/>
        <v>0</v>
      </c>
      <c r="G8" s="19"/>
      <c r="J8" s="20" t="s">
        <v>43</v>
      </c>
      <c r="K8" s="21">
        <v>12.0</v>
      </c>
    </row>
    <row r="9">
      <c r="A9" s="22" t="s">
        <v>69</v>
      </c>
      <c r="B9" s="22" t="s">
        <v>40</v>
      </c>
      <c r="C9" s="17">
        <v>0.0</v>
      </c>
      <c r="D9" s="17">
        <v>0.0</v>
      </c>
      <c r="E9" s="17">
        <v>0.0</v>
      </c>
      <c r="F9" s="18">
        <f t="shared" si="1"/>
        <v>0</v>
      </c>
      <c r="G9" s="19"/>
      <c r="J9" s="20" t="s">
        <v>44</v>
      </c>
      <c r="K9" s="21">
        <v>12.0</v>
      </c>
    </row>
    <row r="10">
      <c r="A10" s="22" t="s">
        <v>69</v>
      </c>
      <c r="B10" s="22" t="s">
        <v>42</v>
      </c>
      <c r="C10" s="17">
        <v>0.0</v>
      </c>
      <c r="D10" s="17">
        <v>0.0</v>
      </c>
      <c r="E10" s="17">
        <v>0.0</v>
      </c>
      <c r="F10" s="18">
        <f t="shared" si="1"/>
        <v>0</v>
      </c>
      <c r="G10" s="19"/>
      <c r="J10" s="20" t="s">
        <v>45</v>
      </c>
      <c r="K10" s="21">
        <v>12.0</v>
      </c>
    </row>
    <row r="11">
      <c r="A11" s="22" t="s">
        <v>69</v>
      </c>
      <c r="B11" s="22" t="s">
        <v>43</v>
      </c>
      <c r="C11" s="17">
        <v>0.0</v>
      </c>
      <c r="D11" s="17">
        <v>0.0</v>
      </c>
      <c r="E11" s="17">
        <v>0.0</v>
      </c>
      <c r="F11" s="18">
        <f t="shared" si="1"/>
        <v>0</v>
      </c>
      <c r="G11" s="19"/>
      <c r="J11" s="20" t="s">
        <v>46</v>
      </c>
      <c r="K11" s="21">
        <v>12.0</v>
      </c>
    </row>
    <row r="12">
      <c r="A12" s="22" t="s">
        <v>69</v>
      </c>
      <c r="B12" s="22" t="s">
        <v>44</v>
      </c>
      <c r="C12" s="17">
        <v>0.0</v>
      </c>
      <c r="D12" s="17">
        <v>0.0</v>
      </c>
      <c r="E12" s="17">
        <v>0.0</v>
      </c>
      <c r="F12" s="18">
        <f t="shared" si="1"/>
        <v>0</v>
      </c>
      <c r="G12" s="19"/>
      <c r="J12" s="20" t="s">
        <v>47</v>
      </c>
      <c r="K12" s="21">
        <v>12.0</v>
      </c>
    </row>
    <row r="13">
      <c r="A13" s="22" t="s">
        <v>69</v>
      </c>
      <c r="B13" s="22" t="s">
        <v>45</v>
      </c>
      <c r="C13" s="17">
        <v>0.0</v>
      </c>
      <c r="D13" s="17">
        <v>0.0</v>
      </c>
      <c r="E13" s="17">
        <v>0.0</v>
      </c>
      <c r="F13" s="18">
        <f t="shared" si="1"/>
        <v>0</v>
      </c>
      <c r="G13" s="19"/>
      <c r="J13" s="20" t="s">
        <v>48</v>
      </c>
      <c r="K13" s="21">
        <v>12.0</v>
      </c>
    </row>
    <row r="14">
      <c r="A14" s="22" t="s">
        <v>69</v>
      </c>
      <c r="B14" s="22" t="s">
        <v>46</v>
      </c>
      <c r="C14" s="17">
        <v>0.0</v>
      </c>
      <c r="D14" s="17">
        <v>0.0</v>
      </c>
      <c r="E14" s="17">
        <v>0.0</v>
      </c>
      <c r="F14" s="18">
        <f t="shared" si="1"/>
        <v>0</v>
      </c>
      <c r="G14" s="19"/>
      <c r="J14" s="20" t="s">
        <v>49</v>
      </c>
      <c r="K14" s="21">
        <v>12.0</v>
      </c>
    </row>
    <row r="15">
      <c r="A15" s="22" t="s">
        <v>69</v>
      </c>
      <c r="B15" s="22" t="s">
        <v>47</v>
      </c>
      <c r="C15" s="17">
        <v>0.0</v>
      </c>
      <c r="D15" s="17">
        <v>0.0</v>
      </c>
      <c r="E15" s="17">
        <v>0.0</v>
      </c>
      <c r="F15" s="18">
        <f t="shared" si="1"/>
        <v>0</v>
      </c>
      <c r="G15" s="19"/>
      <c r="J15" s="20" t="s">
        <v>50</v>
      </c>
      <c r="K15" s="21">
        <v>12.0</v>
      </c>
    </row>
    <row r="16">
      <c r="A16" s="22" t="s">
        <v>69</v>
      </c>
      <c r="B16" s="22" t="s">
        <v>48</v>
      </c>
      <c r="C16" s="17">
        <v>0.0</v>
      </c>
      <c r="D16" s="17">
        <v>0.0</v>
      </c>
      <c r="E16" s="17">
        <v>0.0</v>
      </c>
      <c r="F16" s="18">
        <f t="shared" si="1"/>
        <v>0</v>
      </c>
      <c r="G16" s="19"/>
      <c r="J16" s="20" t="s">
        <v>51</v>
      </c>
      <c r="K16" s="21">
        <v>12.0</v>
      </c>
    </row>
    <row r="17">
      <c r="A17" s="22" t="s">
        <v>69</v>
      </c>
      <c r="B17" s="22" t="s">
        <v>49</v>
      </c>
      <c r="C17" s="17">
        <v>0.0</v>
      </c>
      <c r="D17" s="17">
        <v>0.0</v>
      </c>
      <c r="E17" s="17">
        <v>0.0</v>
      </c>
      <c r="F17" s="18">
        <f t="shared" si="1"/>
        <v>0</v>
      </c>
      <c r="G17" s="19"/>
      <c r="J17" s="20" t="s">
        <v>52</v>
      </c>
      <c r="K17" s="21">
        <v>12.0</v>
      </c>
    </row>
    <row r="18">
      <c r="A18" s="22" t="s">
        <v>69</v>
      </c>
      <c r="B18" s="22" t="s">
        <v>50</v>
      </c>
      <c r="C18" s="17">
        <v>0.0</v>
      </c>
      <c r="D18" s="17">
        <v>0.0</v>
      </c>
      <c r="E18" s="17">
        <v>0.0</v>
      </c>
      <c r="F18" s="18">
        <f t="shared" si="1"/>
        <v>0</v>
      </c>
      <c r="G18" s="19"/>
      <c r="J18" s="20" t="s">
        <v>53</v>
      </c>
      <c r="K18" s="21">
        <v>12.0</v>
      </c>
    </row>
    <row r="19">
      <c r="A19" s="22" t="s">
        <v>69</v>
      </c>
      <c r="B19" s="22" t="s">
        <v>51</v>
      </c>
      <c r="C19" s="17">
        <v>0.0</v>
      </c>
      <c r="D19" s="17">
        <v>0.0</v>
      </c>
      <c r="E19" s="17">
        <v>0.0</v>
      </c>
      <c r="F19" s="18">
        <f t="shared" si="1"/>
        <v>0</v>
      </c>
      <c r="G19" s="19"/>
      <c r="J19" s="20" t="s">
        <v>54</v>
      </c>
      <c r="K19" s="21">
        <v>12.0</v>
      </c>
    </row>
    <row r="20">
      <c r="A20" s="22" t="s">
        <v>69</v>
      </c>
      <c r="B20" s="22" t="s">
        <v>52</v>
      </c>
      <c r="C20" s="17">
        <v>0.0</v>
      </c>
      <c r="D20" s="17">
        <v>0.0</v>
      </c>
      <c r="E20" s="17">
        <v>0.0</v>
      </c>
      <c r="F20" s="18">
        <f t="shared" si="1"/>
        <v>0</v>
      </c>
      <c r="G20" s="19"/>
      <c r="J20" s="20" t="s">
        <v>55</v>
      </c>
      <c r="K20" s="21">
        <v>12.0</v>
      </c>
    </row>
    <row r="21">
      <c r="A21" s="22" t="s">
        <v>69</v>
      </c>
      <c r="B21" s="22" t="s">
        <v>53</v>
      </c>
      <c r="C21" s="17">
        <v>0.0</v>
      </c>
      <c r="D21" s="17">
        <v>0.0</v>
      </c>
      <c r="E21" s="17">
        <v>0.0</v>
      </c>
      <c r="F21" s="18">
        <f t="shared" si="1"/>
        <v>0</v>
      </c>
      <c r="G21" s="19"/>
      <c r="J21" s="20" t="s">
        <v>56</v>
      </c>
      <c r="K21" s="21">
        <v>12.0</v>
      </c>
    </row>
    <row r="22" ht="15.75" customHeight="1">
      <c r="A22" s="22" t="s">
        <v>69</v>
      </c>
      <c r="B22" s="22" t="s">
        <v>54</v>
      </c>
      <c r="C22" s="17">
        <v>0.0</v>
      </c>
      <c r="D22" s="17">
        <v>0.0</v>
      </c>
      <c r="E22" s="17">
        <v>0.0</v>
      </c>
      <c r="F22" s="18">
        <f t="shared" si="1"/>
        <v>0</v>
      </c>
      <c r="G22" s="19"/>
      <c r="J22" s="20" t="s">
        <v>58</v>
      </c>
      <c r="K22" s="21">
        <v>12.0</v>
      </c>
    </row>
    <row r="23" ht="15.75" customHeight="1">
      <c r="A23" s="22" t="s">
        <v>69</v>
      </c>
      <c r="B23" s="22" t="s">
        <v>55</v>
      </c>
      <c r="C23" s="17">
        <v>0.0</v>
      </c>
      <c r="D23" s="17">
        <v>0.0</v>
      </c>
      <c r="E23" s="17">
        <v>0.0</v>
      </c>
      <c r="F23" s="18">
        <f t="shared" si="1"/>
        <v>0</v>
      </c>
      <c r="G23" s="19"/>
      <c r="J23" s="20" t="s">
        <v>59</v>
      </c>
      <c r="K23" s="21">
        <v>12.0</v>
      </c>
    </row>
    <row r="24" ht="15.75" customHeight="1">
      <c r="A24" s="22" t="s">
        <v>69</v>
      </c>
      <c r="B24" s="22" t="s">
        <v>61</v>
      </c>
      <c r="C24" s="17">
        <v>0.0</v>
      </c>
      <c r="D24" s="17">
        <v>0.0</v>
      </c>
      <c r="E24" s="17">
        <v>0.0</v>
      </c>
      <c r="F24" s="18">
        <f t="shared" si="1"/>
        <v>0</v>
      </c>
      <c r="G24" s="19"/>
      <c r="J24" s="20" t="s">
        <v>60</v>
      </c>
      <c r="K24" s="21">
        <v>12.0</v>
      </c>
    </row>
    <row r="25" ht="15.75" customHeight="1">
      <c r="A25" s="22" t="s">
        <v>69</v>
      </c>
      <c r="B25" s="22" t="s">
        <v>63</v>
      </c>
      <c r="C25" s="17">
        <v>0.0</v>
      </c>
      <c r="D25" s="17">
        <v>0.0</v>
      </c>
      <c r="E25" s="17">
        <v>0.0</v>
      </c>
      <c r="F25" s="18">
        <f t="shared" si="1"/>
        <v>0</v>
      </c>
      <c r="G25" s="19"/>
      <c r="J25" s="20" t="s">
        <v>61</v>
      </c>
      <c r="K25" s="21">
        <v>10.0</v>
      </c>
    </row>
    <row r="26" ht="15.75" customHeight="1">
      <c r="A26" s="23" t="s">
        <v>70</v>
      </c>
      <c r="B26" s="23" t="s">
        <v>56</v>
      </c>
      <c r="C26" s="24">
        <v>0.0</v>
      </c>
      <c r="D26" s="25">
        <v>0.0</v>
      </c>
      <c r="E26" s="25">
        <v>11.0</v>
      </c>
      <c r="F26" s="26">
        <f t="shared" si="1"/>
        <v>11</v>
      </c>
      <c r="G26" s="27"/>
      <c r="J26" s="20" t="s">
        <v>63</v>
      </c>
      <c r="K26" s="21">
        <v>10.0</v>
      </c>
    </row>
    <row r="27" ht="15.75" customHeight="1">
      <c r="A27" s="23" t="s">
        <v>70</v>
      </c>
      <c r="B27" s="23" t="s">
        <v>58</v>
      </c>
      <c r="C27" s="24">
        <v>0.0</v>
      </c>
      <c r="D27" s="25">
        <v>1.0</v>
      </c>
      <c r="E27" s="25">
        <v>13.0</v>
      </c>
      <c r="F27" s="26">
        <f t="shared" si="1"/>
        <v>25</v>
      </c>
      <c r="G27" s="27"/>
    </row>
    <row r="28" ht="15.75" customHeight="1">
      <c r="A28" s="23" t="s">
        <v>70</v>
      </c>
      <c r="B28" s="23" t="s">
        <v>59</v>
      </c>
      <c r="C28" s="24">
        <v>0.0</v>
      </c>
      <c r="D28" s="25">
        <v>1.0</v>
      </c>
      <c r="E28" s="25">
        <v>0.0</v>
      </c>
      <c r="F28" s="26">
        <f t="shared" si="1"/>
        <v>12</v>
      </c>
      <c r="G28" s="27"/>
    </row>
    <row r="29" ht="15.75" customHeight="1">
      <c r="A29" s="23" t="s">
        <v>70</v>
      </c>
      <c r="B29" s="23" t="s">
        <v>60</v>
      </c>
      <c r="C29" s="24">
        <v>0.0</v>
      </c>
      <c r="D29" s="25">
        <v>0.0</v>
      </c>
      <c r="E29" s="25">
        <v>8.0</v>
      </c>
      <c r="F29" s="26">
        <f t="shared" si="1"/>
        <v>8</v>
      </c>
      <c r="G29" s="19"/>
    </row>
    <row r="30" ht="15.75" customHeight="1">
      <c r="A30" s="23" t="s">
        <v>70</v>
      </c>
      <c r="B30" s="23" t="s">
        <v>40</v>
      </c>
      <c r="C30" s="24">
        <v>0.0</v>
      </c>
      <c r="D30" s="25">
        <v>2.0</v>
      </c>
      <c r="E30" s="25">
        <v>0.0</v>
      </c>
      <c r="F30" s="26">
        <f t="shared" si="1"/>
        <v>24</v>
      </c>
      <c r="G30" s="27"/>
    </row>
    <row r="31" ht="15.75" customHeight="1">
      <c r="A31" s="23" t="s">
        <v>70</v>
      </c>
      <c r="B31" s="23" t="s">
        <v>42</v>
      </c>
      <c r="C31" s="24">
        <v>0.0</v>
      </c>
      <c r="D31" s="25">
        <v>1.0</v>
      </c>
      <c r="E31" s="25">
        <v>5.0</v>
      </c>
      <c r="F31" s="26">
        <f t="shared" si="1"/>
        <v>17</v>
      </c>
      <c r="G31" s="27"/>
    </row>
    <row r="32" ht="15.75" customHeight="1">
      <c r="A32" s="23" t="s">
        <v>70</v>
      </c>
      <c r="B32" s="23" t="s">
        <v>43</v>
      </c>
      <c r="C32" s="24">
        <v>0.0</v>
      </c>
      <c r="D32" s="25">
        <v>1.0</v>
      </c>
      <c r="E32" s="25">
        <v>7.0</v>
      </c>
      <c r="F32" s="26">
        <f t="shared" si="1"/>
        <v>19</v>
      </c>
      <c r="G32" s="27"/>
    </row>
    <row r="33" ht="15.75" customHeight="1">
      <c r="A33" s="23" t="s">
        <v>70</v>
      </c>
      <c r="B33" s="23" t="s">
        <v>44</v>
      </c>
      <c r="C33" s="24">
        <v>0.0</v>
      </c>
      <c r="D33" s="25">
        <v>1.0</v>
      </c>
      <c r="E33" s="25">
        <v>7.0</v>
      </c>
      <c r="F33" s="26">
        <f t="shared" si="1"/>
        <v>19</v>
      </c>
      <c r="G33" s="27"/>
    </row>
    <row r="34" ht="15.75" customHeight="1">
      <c r="A34" s="23" t="s">
        <v>70</v>
      </c>
      <c r="B34" s="23" t="s">
        <v>45</v>
      </c>
      <c r="C34" s="24">
        <v>0.0</v>
      </c>
      <c r="D34" s="25">
        <v>0.0</v>
      </c>
      <c r="E34" s="25">
        <v>0.0</v>
      </c>
      <c r="F34" s="26">
        <f t="shared" si="1"/>
        <v>0</v>
      </c>
      <c r="G34" s="27"/>
    </row>
    <row r="35" ht="15.75" customHeight="1">
      <c r="A35" s="23" t="s">
        <v>70</v>
      </c>
      <c r="B35" s="23" t="s">
        <v>46</v>
      </c>
      <c r="C35" s="24">
        <v>0.0</v>
      </c>
      <c r="D35" s="25">
        <v>0.0</v>
      </c>
      <c r="E35" s="25">
        <v>12.0</v>
      </c>
      <c r="F35" s="26">
        <f t="shared" si="1"/>
        <v>12</v>
      </c>
      <c r="G35" s="27"/>
    </row>
    <row r="36" ht="15.75" customHeight="1">
      <c r="A36" s="23" t="s">
        <v>70</v>
      </c>
      <c r="B36" s="23" t="s">
        <v>47</v>
      </c>
      <c r="C36" s="24">
        <v>0.0</v>
      </c>
      <c r="D36" s="25">
        <v>3.0</v>
      </c>
      <c r="E36" s="25">
        <v>2.0</v>
      </c>
      <c r="F36" s="26">
        <f t="shared" si="1"/>
        <v>38</v>
      </c>
      <c r="G36" s="27"/>
    </row>
    <row r="37" ht="15.75" customHeight="1">
      <c r="A37" s="23" t="s">
        <v>70</v>
      </c>
      <c r="B37" s="23" t="s">
        <v>48</v>
      </c>
      <c r="C37" s="24">
        <v>0.0</v>
      </c>
      <c r="D37" s="25">
        <v>3.0</v>
      </c>
      <c r="E37" s="25">
        <v>0.0</v>
      </c>
      <c r="F37" s="26">
        <f t="shared" si="1"/>
        <v>36</v>
      </c>
      <c r="G37" s="27"/>
    </row>
    <row r="38" ht="15.75" customHeight="1">
      <c r="A38" s="23" t="s">
        <v>70</v>
      </c>
      <c r="B38" s="23" t="s">
        <v>49</v>
      </c>
      <c r="C38" s="24">
        <v>0.0</v>
      </c>
      <c r="D38" s="25">
        <v>2.0</v>
      </c>
      <c r="E38" s="25">
        <v>17.0</v>
      </c>
      <c r="F38" s="26">
        <f t="shared" si="1"/>
        <v>41</v>
      </c>
      <c r="G38" s="27"/>
    </row>
    <row r="39" ht="15.75" customHeight="1">
      <c r="A39" s="23" t="s">
        <v>70</v>
      </c>
      <c r="B39" s="23" t="s">
        <v>50</v>
      </c>
      <c r="C39" s="24">
        <v>0.0</v>
      </c>
      <c r="D39" s="25">
        <v>1.0</v>
      </c>
      <c r="E39" s="25">
        <v>8.0</v>
      </c>
      <c r="F39" s="26">
        <f t="shared" si="1"/>
        <v>20</v>
      </c>
      <c r="G39" s="27"/>
    </row>
    <row r="40" ht="15.75" customHeight="1">
      <c r="A40" s="23" t="s">
        <v>70</v>
      </c>
      <c r="B40" s="23" t="s">
        <v>51</v>
      </c>
      <c r="C40" s="24">
        <v>0.0</v>
      </c>
      <c r="D40" s="25">
        <v>3.0</v>
      </c>
      <c r="E40" s="25">
        <v>12.0</v>
      </c>
      <c r="F40" s="26">
        <f t="shared" si="1"/>
        <v>48</v>
      </c>
      <c r="G40" s="27"/>
    </row>
    <row r="41" ht="15.75" customHeight="1">
      <c r="A41" s="23" t="s">
        <v>70</v>
      </c>
      <c r="B41" s="23" t="s">
        <v>52</v>
      </c>
      <c r="C41" s="24">
        <v>0.0</v>
      </c>
      <c r="D41" s="25">
        <v>2.0</v>
      </c>
      <c r="E41" s="25">
        <v>23.0</v>
      </c>
      <c r="F41" s="26">
        <f t="shared" si="1"/>
        <v>47</v>
      </c>
      <c r="G41" s="27"/>
    </row>
    <row r="42" ht="15.75" customHeight="1">
      <c r="A42" s="23" t="s">
        <v>70</v>
      </c>
      <c r="B42" s="23" t="s">
        <v>53</v>
      </c>
      <c r="C42" s="24">
        <v>0.0</v>
      </c>
      <c r="D42" s="25">
        <v>4.0</v>
      </c>
      <c r="E42" s="25">
        <v>2.0</v>
      </c>
      <c r="F42" s="26">
        <f t="shared" si="1"/>
        <v>50</v>
      </c>
      <c r="G42" s="27"/>
    </row>
    <row r="43" ht="15.75" customHeight="1">
      <c r="A43" s="23" t="s">
        <v>70</v>
      </c>
      <c r="B43" s="23" t="s">
        <v>54</v>
      </c>
      <c r="C43" s="24">
        <v>0.0</v>
      </c>
      <c r="D43" s="25">
        <v>3.0</v>
      </c>
      <c r="E43" s="25">
        <v>10.0</v>
      </c>
      <c r="F43" s="26">
        <f t="shared" si="1"/>
        <v>46</v>
      </c>
      <c r="G43" s="27"/>
    </row>
    <row r="44" ht="15.75" customHeight="1">
      <c r="A44" s="23" t="s">
        <v>70</v>
      </c>
      <c r="B44" s="23" t="s">
        <v>55</v>
      </c>
      <c r="C44" s="24">
        <v>0.0</v>
      </c>
      <c r="D44" s="25">
        <v>7.0</v>
      </c>
      <c r="E44" s="25">
        <v>5.0</v>
      </c>
      <c r="F44" s="26">
        <f t="shared" si="1"/>
        <v>89</v>
      </c>
      <c r="G44" s="27"/>
    </row>
    <row r="45" ht="15.75" customHeight="1">
      <c r="A45" s="23" t="s">
        <v>70</v>
      </c>
      <c r="B45" s="23" t="s">
        <v>61</v>
      </c>
      <c r="C45" s="24">
        <v>0.0</v>
      </c>
      <c r="D45" s="25">
        <v>4.0</v>
      </c>
      <c r="E45" s="25">
        <v>9.0</v>
      </c>
      <c r="F45" s="26">
        <f t="shared" si="1"/>
        <v>49</v>
      </c>
      <c r="G45" s="19"/>
    </row>
    <row r="46" ht="15.75" customHeight="1">
      <c r="A46" s="23" t="s">
        <v>70</v>
      </c>
      <c r="B46" s="23" t="s">
        <v>63</v>
      </c>
      <c r="C46" s="24">
        <v>0.0</v>
      </c>
      <c r="D46" s="25">
        <v>4.0</v>
      </c>
      <c r="E46" s="25">
        <v>6.0</v>
      </c>
      <c r="F46" s="26">
        <f t="shared" si="1"/>
        <v>46</v>
      </c>
      <c r="G46" s="19"/>
    </row>
    <row r="47" ht="15.75" customHeight="1">
      <c r="A47" s="28" t="s">
        <v>71</v>
      </c>
      <c r="B47" s="28" t="s">
        <v>56</v>
      </c>
      <c r="C47" s="29">
        <v>0.0</v>
      </c>
      <c r="D47" s="29">
        <v>0.0</v>
      </c>
      <c r="E47" s="29">
        <v>20.0</v>
      </c>
      <c r="F47" s="30">
        <f t="shared" si="1"/>
        <v>20</v>
      </c>
      <c r="G47" s="27"/>
    </row>
    <row r="48" ht="15.75" customHeight="1">
      <c r="A48" s="28" t="s">
        <v>71</v>
      </c>
      <c r="B48" s="28" t="s">
        <v>58</v>
      </c>
      <c r="C48" s="29">
        <v>0.0</v>
      </c>
      <c r="D48" s="29">
        <v>0.0</v>
      </c>
      <c r="E48" s="29">
        <v>19.0</v>
      </c>
      <c r="F48" s="30">
        <f t="shared" si="1"/>
        <v>19</v>
      </c>
      <c r="G48" s="27"/>
    </row>
    <row r="49" ht="15.75" customHeight="1">
      <c r="A49" s="28" t="s">
        <v>71</v>
      </c>
      <c r="B49" s="28" t="s">
        <v>59</v>
      </c>
      <c r="C49" s="29">
        <v>0.0</v>
      </c>
      <c r="D49" s="29">
        <v>0.0</v>
      </c>
      <c r="E49" s="29">
        <v>22.0</v>
      </c>
      <c r="F49" s="30">
        <f t="shared" si="1"/>
        <v>22</v>
      </c>
      <c r="G49" s="27"/>
    </row>
    <row r="50" ht="15.75" customHeight="1">
      <c r="A50" s="28" t="s">
        <v>71</v>
      </c>
      <c r="B50" s="28" t="s">
        <v>60</v>
      </c>
      <c r="C50" s="29">
        <v>0.0</v>
      </c>
      <c r="D50" s="29">
        <v>1.0</v>
      </c>
      <c r="E50" s="29">
        <v>2.0</v>
      </c>
      <c r="F50" s="30">
        <f t="shared" si="1"/>
        <v>14</v>
      </c>
      <c r="G50" s="27"/>
    </row>
    <row r="51" ht="15.75" customHeight="1">
      <c r="A51" s="28" t="s">
        <v>71</v>
      </c>
      <c r="B51" s="28" t="s">
        <v>40</v>
      </c>
      <c r="C51" s="29">
        <v>0.0</v>
      </c>
      <c r="D51" s="29">
        <v>1.0</v>
      </c>
      <c r="E51" s="29">
        <v>2.0</v>
      </c>
      <c r="F51" s="30">
        <f t="shared" si="1"/>
        <v>14</v>
      </c>
      <c r="G51" s="27"/>
    </row>
    <row r="52" ht="15.75" customHeight="1">
      <c r="A52" s="28" t="s">
        <v>71</v>
      </c>
      <c r="B52" s="28" t="s">
        <v>42</v>
      </c>
      <c r="C52" s="29">
        <v>0.0</v>
      </c>
      <c r="D52" s="29">
        <v>0.0</v>
      </c>
      <c r="E52" s="29">
        <v>20.0</v>
      </c>
      <c r="F52" s="30">
        <f t="shared" si="1"/>
        <v>20</v>
      </c>
      <c r="G52" s="27"/>
    </row>
    <row r="53" ht="15.75" customHeight="1">
      <c r="A53" s="28" t="s">
        <v>71</v>
      </c>
      <c r="B53" s="28" t="s">
        <v>43</v>
      </c>
      <c r="C53" s="29">
        <v>0.0</v>
      </c>
      <c r="D53" s="29">
        <v>0.0</v>
      </c>
      <c r="E53" s="29">
        <v>21.0</v>
      </c>
      <c r="F53" s="30">
        <f t="shared" si="1"/>
        <v>21</v>
      </c>
      <c r="G53" s="27"/>
    </row>
    <row r="54" ht="15.75" customHeight="1">
      <c r="A54" s="28" t="s">
        <v>71</v>
      </c>
      <c r="B54" s="28" t="s">
        <v>44</v>
      </c>
      <c r="C54" s="29">
        <v>0.0</v>
      </c>
      <c r="D54" s="29">
        <v>0.0</v>
      </c>
      <c r="E54" s="29">
        <v>0.0</v>
      </c>
      <c r="F54" s="30">
        <f t="shared" si="1"/>
        <v>0</v>
      </c>
      <c r="G54" s="27"/>
    </row>
    <row r="55" ht="15.75" customHeight="1">
      <c r="A55" s="28" t="s">
        <v>71</v>
      </c>
      <c r="B55" s="28" t="s">
        <v>45</v>
      </c>
      <c r="C55" s="29">
        <v>0.0</v>
      </c>
      <c r="D55" s="29">
        <v>0.0</v>
      </c>
      <c r="E55" s="29">
        <v>0.0</v>
      </c>
      <c r="F55" s="30">
        <f t="shared" si="1"/>
        <v>0</v>
      </c>
      <c r="G55" s="27"/>
    </row>
    <row r="56" ht="15.75" customHeight="1">
      <c r="A56" s="28" t="s">
        <v>71</v>
      </c>
      <c r="B56" s="28" t="s">
        <v>46</v>
      </c>
      <c r="C56" s="29">
        <v>0.0</v>
      </c>
      <c r="D56" s="29">
        <v>0.0</v>
      </c>
      <c r="E56" s="29">
        <v>19.0</v>
      </c>
      <c r="F56" s="30">
        <f t="shared" si="1"/>
        <v>19</v>
      </c>
      <c r="G56" s="27"/>
    </row>
    <row r="57" ht="15.75" customHeight="1">
      <c r="A57" s="28" t="s">
        <v>71</v>
      </c>
      <c r="B57" s="28" t="s">
        <v>47</v>
      </c>
      <c r="C57" s="29">
        <v>0.0</v>
      </c>
      <c r="D57" s="29">
        <v>1.0</v>
      </c>
      <c r="E57" s="29">
        <v>31.0</v>
      </c>
      <c r="F57" s="30">
        <f t="shared" si="1"/>
        <v>43</v>
      </c>
      <c r="G57" s="27"/>
    </row>
    <row r="58" ht="15.75" customHeight="1">
      <c r="A58" s="28" t="s">
        <v>71</v>
      </c>
      <c r="B58" s="28" t="s">
        <v>48</v>
      </c>
      <c r="C58" s="29">
        <v>0.0</v>
      </c>
      <c r="D58" s="29">
        <v>1.0</v>
      </c>
      <c r="E58" s="29">
        <v>22.0</v>
      </c>
      <c r="F58" s="30">
        <f t="shared" si="1"/>
        <v>34</v>
      </c>
      <c r="G58" s="27"/>
    </row>
    <row r="59" ht="15.75" customHeight="1">
      <c r="A59" s="28" t="s">
        <v>71</v>
      </c>
      <c r="B59" s="28" t="s">
        <v>49</v>
      </c>
      <c r="C59" s="29">
        <v>0.0</v>
      </c>
      <c r="D59" s="29">
        <v>1.0</v>
      </c>
      <c r="E59" s="29">
        <v>29.0</v>
      </c>
      <c r="F59" s="30">
        <f t="shared" si="1"/>
        <v>41</v>
      </c>
      <c r="G59" s="27"/>
    </row>
    <row r="60" ht="15.75" customHeight="1">
      <c r="A60" s="28" t="s">
        <v>71</v>
      </c>
      <c r="B60" s="28" t="s">
        <v>50</v>
      </c>
      <c r="C60" s="29">
        <v>0.0</v>
      </c>
      <c r="D60" s="29">
        <v>0.0</v>
      </c>
      <c r="E60" s="29">
        <v>17.0</v>
      </c>
      <c r="F60" s="30">
        <f t="shared" si="1"/>
        <v>17</v>
      </c>
      <c r="G60" s="27"/>
    </row>
    <row r="61" ht="15.75" customHeight="1">
      <c r="A61" s="28" t="s">
        <v>71</v>
      </c>
      <c r="B61" s="28" t="s">
        <v>51</v>
      </c>
      <c r="C61" s="29">
        <v>0.0</v>
      </c>
      <c r="D61" s="29">
        <v>1.0</v>
      </c>
      <c r="E61" s="29">
        <v>57.0</v>
      </c>
      <c r="F61" s="30">
        <f t="shared" si="1"/>
        <v>69</v>
      </c>
      <c r="G61" s="27"/>
    </row>
    <row r="62" ht="15.75" customHeight="1">
      <c r="A62" s="28" t="s">
        <v>71</v>
      </c>
      <c r="B62" s="28" t="s">
        <v>52</v>
      </c>
      <c r="C62" s="29">
        <v>0.0</v>
      </c>
      <c r="D62" s="29">
        <v>1.0</v>
      </c>
      <c r="E62" s="29">
        <v>1.0</v>
      </c>
      <c r="F62" s="30">
        <f t="shared" si="1"/>
        <v>13</v>
      </c>
      <c r="G62" s="27"/>
    </row>
    <row r="63" ht="15.75" customHeight="1">
      <c r="A63" s="28" t="s">
        <v>71</v>
      </c>
      <c r="B63" s="28" t="s">
        <v>53</v>
      </c>
      <c r="C63" s="29">
        <v>0.0</v>
      </c>
      <c r="D63" s="29">
        <v>3.0</v>
      </c>
      <c r="E63" s="29">
        <v>7.0</v>
      </c>
      <c r="F63" s="30">
        <f t="shared" si="1"/>
        <v>43</v>
      </c>
      <c r="G63" s="27"/>
    </row>
    <row r="64" ht="15.75" customHeight="1">
      <c r="A64" s="28" t="s">
        <v>71</v>
      </c>
      <c r="B64" s="28" t="s">
        <v>54</v>
      </c>
      <c r="C64" s="29">
        <v>0.0</v>
      </c>
      <c r="D64" s="29">
        <v>1.0</v>
      </c>
      <c r="E64" s="29">
        <v>15.0</v>
      </c>
      <c r="F64" s="30">
        <f t="shared" si="1"/>
        <v>27</v>
      </c>
      <c r="G64" s="27"/>
    </row>
    <row r="65" ht="15.75" customHeight="1">
      <c r="A65" s="28" t="s">
        <v>71</v>
      </c>
      <c r="B65" s="28" t="s">
        <v>55</v>
      </c>
      <c r="C65" s="29">
        <v>0.0</v>
      </c>
      <c r="D65" s="29">
        <v>0.0</v>
      </c>
      <c r="E65" s="29">
        <v>8.0</v>
      </c>
      <c r="F65" s="30">
        <f t="shared" si="1"/>
        <v>8</v>
      </c>
      <c r="G65" s="27"/>
    </row>
    <row r="66" ht="15.75" customHeight="1">
      <c r="A66" s="28" t="s">
        <v>71</v>
      </c>
      <c r="B66" s="28" t="s">
        <v>61</v>
      </c>
      <c r="C66" s="29">
        <v>0.0</v>
      </c>
      <c r="D66" s="29">
        <v>1.0</v>
      </c>
      <c r="E66" s="29">
        <v>5.0</v>
      </c>
      <c r="F66" s="30">
        <f t="shared" si="1"/>
        <v>15</v>
      </c>
      <c r="G66" s="31"/>
    </row>
    <row r="67" ht="15.75" customHeight="1">
      <c r="A67" s="28" t="s">
        <v>71</v>
      </c>
      <c r="B67" s="28" t="s">
        <v>63</v>
      </c>
      <c r="C67" s="29">
        <v>0.0</v>
      </c>
      <c r="D67" s="29">
        <v>0.0</v>
      </c>
      <c r="E67" s="29">
        <v>4.0</v>
      </c>
      <c r="F67" s="30">
        <f t="shared" si="1"/>
        <v>4</v>
      </c>
      <c r="G67" s="31"/>
    </row>
    <row r="68" ht="15.75" customHeight="1">
      <c r="A68" s="32" t="s">
        <v>72</v>
      </c>
      <c r="B68" s="33" t="s">
        <v>56</v>
      </c>
      <c r="C68" s="34">
        <v>0.0</v>
      </c>
      <c r="D68" s="34">
        <v>0.0</v>
      </c>
      <c r="E68" s="34">
        <v>22.0</v>
      </c>
      <c r="F68" s="35">
        <f t="shared" si="1"/>
        <v>22</v>
      </c>
      <c r="G68" s="31"/>
    </row>
    <row r="69" ht="15.75" customHeight="1">
      <c r="A69" s="32" t="s">
        <v>72</v>
      </c>
      <c r="B69" s="33" t="s">
        <v>58</v>
      </c>
      <c r="C69" s="36">
        <v>0.0</v>
      </c>
      <c r="D69" s="36">
        <v>1.0</v>
      </c>
      <c r="E69" s="36">
        <v>0.0</v>
      </c>
      <c r="F69" s="35">
        <f t="shared" si="1"/>
        <v>12</v>
      </c>
      <c r="G69" s="31"/>
    </row>
    <row r="70" ht="15.75" customHeight="1">
      <c r="A70" s="32" t="s">
        <v>72</v>
      </c>
      <c r="B70" s="33" t="s">
        <v>59</v>
      </c>
      <c r="C70" s="36">
        <v>0.0</v>
      </c>
      <c r="D70" s="36">
        <v>0.0</v>
      </c>
      <c r="E70" s="36">
        <v>12.0</v>
      </c>
      <c r="F70" s="35">
        <f t="shared" si="1"/>
        <v>12</v>
      </c>
      <c r="G70" s="31"/>
    </row>
    <row r="71" ht="15.75" customHeight="1">
      <c r="A71" s="32" t="s">
        <v>72</v>
      </c>
      <c r="B71" s="33" t="s">
        <v>60</v>
      </c>
      <c r="C71" s="36">
        <v>0.0</v>
      </c>
      <c r="D71" s="36">
        <v>0.0</v>
      </c>
      <c r="E71" s="36">
        <v>12.0</v>
      </c>
      <c r="F71" s="35">
        <f t="shared" si="1"/>
        <v>12</v>
      </c>
      <c r="G71" s="31"/>
    </row>
    <row r="72" ht="15.75" customHeight="1">
      <c r="A72" s="32" t="s">
        <v>72</v>
      </c>
      <c r="B72" s="33" t="s">
        <v>40</v>
      </c>
      <c r="C72" s="36">
        <v>0.0</v>
      </c>
      <c r="D72" s="36">
        <v>0.0</v>
      </c>
      <c r="E72" s="36">
        <v>23.0</v>
      </c>
      <c r="F72" s="35">
        <f t="shared" si="1"/>
        <v>23</v>
      </c>
      <c r="G72" s="31"/>
    </row>
    <row r="73" ht="15.75" customHeight="1">
      <c r="A73" s="32" t="s">
        <v>72</v>
      </c>
      <c r="B73" s="33" t="s">
        <v>42</v>
      </c>
      <c r="C73" s="36">
        <v>0.0</v>
      </c>
      <c r="D73" s="36">
        <v>0.0</v>
      </c>
      <c r="E73" s="36">
        <v>21.0</v>
      </c>
      <c r="F73" s="35">
        <f t="shared" si="1"/>
        <v>21</v>
      </c>
      <c r="G73" s="31"/>
    </row>
    <row r="74" ht="15.75" customHeight="1">
      <c r="A74" s="32" t="s">
        <v>72</v>
      </c>
      <c r="B74" s="33" t="s">
        <v>43</v>
      </c>
      <c r="C74" s="36">
        <v>0.0</v>
      </c>
      <c r="D74" s="36">
        <v>0.0</v>
      </c>
      <c r="E74" s="36">
        <v>23.0</v>
      </c>
      <c r="F74" s="35">
        <f t="shared" si="1"/>
        <v>23</v>
      </c>
      <c r="G74" s="31"/>
    </row>
    <row r="75" ht="15.75" customHeight="1">
      <c r="A75" s="32" t="s">
        <v>72</v>
      </c>
      <c r="B75" s="33" t="s">
        <v>44</v>
      </c>
      <c r="C75" s="36">
        <v>0.0</v>
      </c>
      <c r="D75" s="36">
        <v>0.0</v>
      </c>
      <c r="E75" s="36">
        <v>0.0</v>
      </c>
      <c r="F75" s="35">
        <f t="shared" si="1"/>
        <v>0</v>
      </c>
      <c r="G75" s="31"/>
    </row>
    <row r="76" ht="15.75" customHeight="1">
      <c r="A76" s="32" t="s">
        <v>72</v>
      </c>
      <c r="B76" s="33" t="s">
        <v>45</v>
      </c>
      <c r="C76" s="36">
        <v>0.0</v>
      </c>
      <c r="D76" s="36">
        <v>0.0</v>
      </c>
      <c r="E76" s="36">
        <v>0.0</v>
      </c>
      <c r="F76" s="35">
        <f t="shared" si="1"/>
        <v>0</v>
      </c>
      <c r="G76" s="31"/>
    </row>
    <row r="77" ht="15.75" customHeight="1">
      <c r="A77" s="32" t="s">
        <v>72</v>
      </c>
      <c r="B77" s="33" t="s">
        <v>46</v>
      </c>
      <c r="C77" s="36">
        <v>0.0</v>
      </c>
      <c r="D77" s="36">
        <v>0.0</v>
      </c>
      <c r="E77" s="36">
        <v>19.0</v>
      </c>
      <c r="F77" s="35">
        <f t="shared" si="1"/>
        <v>19</v>
      </c>
      <c r="G77" s="31"/>
    </row>
    <row r="78" ht="15.75" customHeight="1">
      <c r="A78" s="32" t="s">
        <v>72</v>
      </c>
      <c r="B78" s="33" t="s">
        <v>47</v>
      </c>
      <c r="C78" s="36">
        <v>0.0</v>
      </c>
      <c r="D78" s="36">
        <v>0.0</v>
      </c>
      <c r="E78" s="36">
        <v>16.0</v>
      </c>
      <c r="F78" s="35">
        <f t="shared" si="1"/>
        <v>16</v>
      </c>
      <c r="G78" s="31"/>
    </row>
    <row r="79" ht="15.75" customHeight="1">
      <c r="A79" s="32" t="s">
        <v>72</v>
      </c>
      <c r="B79" s="33" t="s">
        <v>48</v>
      </c>
      <c r="C79" s="36">
        <v>0.0</v>
      </c>
      <c r="D79" s="36">
        <v>0.0</v>
      </c>
      <c r="E79" s="36">
        <v>19.0</v>
      </c>
      <c r="F79" s="35">
        <f t="shared" si="1"/>
        <v>19</v>
      </c>
      <c r="G79" s="31"/>
    </row>
    <row r="80" ht="15.75" customHeight="1">
      <c r="A80" s="32" t="s">
        <v>72</v>
      </c>
      <c r="B80" s="33" t="s">
        <v>49</v>
      </c>
      <c r="C80" s="36">
        <v>0.0</v>
      </c>
      <c r="D80" s="36">
        <v>0.0</v>
      </c>
      <c r="E80" s="36">
        <v>21.0</v>
      </c>
      <c r="F80" s="35">
        <f t="shared" si="1"/>
        <v>21</v>
      </c>
      <c r="G80" s="31"/>
    </row>
    <row r="81" ht="15.75" customHeight="1">
      <c r="A81" s="32" t="s">
        <v>72</v>
      </c>
      <c r="B81" s="33" t="s">
        <v>50</v>
      </c>
      <c r="C81" s="36">
        <v>0.0</v>
      </c>
      <c r="D81" s="36">
        <v>0.0</v>
      </c>
      <c r="E81" s="36">
        <v>16.0</v>
      </c>
      <c r="F81" s="35">
        <f t="shared" si="1"/>
        <v>16</v>
      </c>
      <c r="G81" s="31"/>
    </row>
    <row r="82" ht="15.75" customHeight="1">
      <c r="A82" s="32" t="s">
        <v>72</v>
      </c>
      <c r="B82" s="33" t="s">
        <v>51</v>
      </c>
      <c r="C82" s="36">
        <v>0.0</v>
      </c>
      <c r="D82" s="36">
        <v>0.0</v>
      </c>
      <c r="E82" s="36">
        <v>14.0</v>
      </c>
      <c r="F82" s="35">
        <f t="shared" si="1"/>
        <v>14</v>
      </c>
      <c r="G82" s="31"/>
    </row>
    <row r="83" ht="15.75" customHeight="1">
      <c r="A83" s="32" t="s">
        <v>72</v>
      </c>
      <c r="B83" s="33" t="s">
        <v>52</v>
      </c>
      <c r="C83" s="36">
        <v>0.0</v>
      </c>
      <c r="D83" s="36">
        <v>0.0</v>
      </c>
      <c r="E83" s="36">
        <v>19.0</v>
      </c>
      <c r="F83" s="35">
        <f t="shared" si="1"/>
        <v>19</v>
      </c>
      <c r="G83" s="31"/>
    </row>
    <row r="84" ht="15.75" customHeight="1">
      <c r="A84" s="32" t="s">
        <v>72</v>
      </c>
      <c r="B84" s="33" t="s">
        <v>53</v>
      </c>
      <c r="C84" s="36">
        <v>0.0</v>
      </c>
      <c r="D84" s="36">
        <v>1.0</v>
      </c>
      <c r="E84" s="36">
        <v>1.0</v>
      </c>
      <c r="F84" s="35">
        <f t="shared" si="1"/>
        <v>13</v>
      </c>
      <c r="G84" s="31"/>
    </row>
    <row r="85" ht="15.75" customHeight="1">
      <c r="A85" s="32" t="s">
        <v>72</v>
      </c>
      <c r="B85" s="33" t="s">
        <v>54</v>
      </c>
      <c r="C85" s="36">
        <v>0.0</v>
      </c>
      <c r="D85" s="36">
        <v>0.0</v>
      </c>
      <c r="E85" s="36">
        <v>23.0</v>
      </c>
      <c r="F85" s="35">
        <f t="shared" si="1"/>
        <v>23</v>
      </c>
      <c r="G85" s="31"/>
    </row>
    <row r="86" ht="15.75" customHeight="1">
      <c r="A86" s="32" t="s">
        <v>72</v>
      </c>
      <c r="B86" s="33" t="s">
        <v>55</v>
      </c>
      <c r="C86" s="36">
        <v>0.0</v>
      </c>
      <c r="D86" s="36">
        <v>1.0</v>
      </c>
      <c r="E86" s="36">
        <v>12.0</v>
      </c>
      <c r="F86" s="35">
        <f t="shared" si="1"/>
        <v>24</v>
      </c>
      <c r="G86" s="31"/>
    </row>
    <row r="87" ht="15.75" customHeight="1">
      <c r="A87" s="32" t="s">
        <v>72</v>
      </c>
      <c r="B87" s="33" t="s">
        <v>61</v>
      </c>
      <c r="C87" s="36">
        <v>0.0</v>
      </c>
      <c r="D87" s="36">
        <v>0.0</v>
      </c>
      <c r="E87" s="36">
        <v>4.0</v>
      </c>
      <c r="F87" s="35">
        <f t="shared" si="1"/>
        <v>4</v>
      </c>
      <c r="G87" s="31"/>
    </row>
    <row r="88" ht="15.75" customHeight="1">
      <c r="A88" s="32" t="s">
        <v>72</v>
      </c>
      <c r="B88" s="33" t="s">
        <v>63</v>
      </c>
      <c r="C88" s="36">
        <v>0.0</v>
      </c>
      <c r="D88" s="36">
        <v>0.0</v>
      </c>
      <c r="E88" s="36">
        <v>0.0</v>
      </c>
      <c r="F88" s="35">
        <f t="shared" si="1"/>
        <v>0</v>
      </c>
      <c r="G88" s="31"/>
    </row>
    <row r="89" ht="15.75" customHeight="1">
      <c r="A89" s="32"/>
      <c r="B89" s="33"/>
      <c r="C89" s="36"/>
      <c r="D89" s="36"/>
      <c r="E89" s="36"/>
      <c r="F89" s="35"/>
      <c r="G89" s="3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A98" s="37" t="s">
        <v>73</v>
      </c>
    </row>
    <row r="99" ht="15.75" customHeight="1">
      <c r="A99" s="38" t="s">
        <v>66</v>
      </c>
      <c r="B99" s="38" t="s">
        <v>74</v>
      </c>
      <c r="C99" s="38" t="s">
        <v>75</v>
      </c>
    </row>
    <row r="100" ht="15.75" customHeight="1">
      <c r="A100" s="21" t="s">
        <v>76</v>
      </c>
      <c r="B100" s="21" t="s">
        <v>77</v>
      </c>
      <c r="C100" s="21" t="s">
        <v>78</v>
      </c>
    </row>
    <row r="101" ht="15.75" customHeight="1">
      <c r="A101" s="39" t="s">
        <v>72</v>
      </c>
      <c r="B101" s="21" t="s">
        <v>79</v>
      </c>
      <c r="C101" s="21" t="s">
        <v>78</v>
      </c>
    </row>
    <row r="102" ht="15.75" customHeight="1">
      <c r="A102" s="21" t="s">
        <v>69</v>
      </c>
      <c r="B102" s="21" t="s">
        <v>80</v>
      </c>
      <c r="C102" s="21" t="s">
        <v>81</v>
      </c>
    </row>
    <row r="103" ht="15.75" customHeight="1">
      <c r="A103" s="21" t="s">
        <v>71</v>
      </c>
      <c r="B103" s="21" t="s">
        <v>82</v>
      </c>
      <c r="C103" s="21" t="s">
        <v>81</v>
      </c>
    </row>
    <row r="104" ht="15.75" customHeight="1">
      <c r="A104" s="21" t="s">
        <v>70</v>
      </c>
      <c r="B104" s="21" t="s">
        <v>83</v>
      </c>
      <c r="C104" s="21" t="s">
        <v>81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autoFilter ref="$A$4:$G$89">
    <sortState ref="A4:G89">
      <sortCondition ref="A4:A89"/>
      <sortCondition ref="B4:B89"/>
    </sortState>
  </autoFilter>
  <mergeCells count="3">
    <mergeCell ref="A1:G1"/>
    <mergeCell ref="A2:G2"/>
    <mergeCell ref="J4:K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86"/>
  </cols>
  <sheetData>
    <row r="2">
      <c r="A2" s="40" t="s">
        <v>84</v>
      </c>
    </row>
    <row r="3">
      <c r="A3" s="41" t="s">
        <v>56</v>
      </c>
      <c r="B3" s="42" t="s">
        <v>85</v>
      </c>
      <c r="C3" s="43">
        <v>9.0</v>
      </c>
      <c r="D3" s="43">
        <v>11.0</v>
      </c>
      <c r="E3" s="43">
        <v>12.0</v>
      </c>
      <c r="F3" s="43">
        <v>12.0</v>
      </c>
      <c r="G3" s="44" t="s">
        <v>86</v>
      </c>
    </row>
    <row r="4">
      <c r="A4" s="41" t="s">
        <v>58</v>
      </c>
      <c r="B4" s="42" t="s">
        <v>87</v>
      </c>
      <c r="C4" s="43">
        <v>8.0</v>
      </c>
      <c r="D4" s="43">
        <v>12.0</v>
      </c>
      <c r="E4" s="43">
        <v>12.0</v>
      </c>
      <c r="F4" s="43">
        <v>10.0</v>
      </c>
      <c r="G4" s="44" t="s">
        <v>88</v>
      </c>
    </row>
    <row r="5">
      <c r="A5" s="41" t="s">
        <v>59</v>
      </c>
      <c r="B5" s="42" t="s">
        <v>89</v>
      </c>
      <c r="C5" s="43">
        <v>22.0</v>
      </c>
      <c r="D5" s="43">
        <v>16.0</v>
      </c>
      <c r="E5" s="43">
        <v>24.0</v>
      </c>
      <c r="F5" s="43">
        <v>22.0</v>
      </c>
      <c r="G5" s="44" t="s">
        <v>90</v>
      </c>
    </row>
    <row r="6">
      <c r="A6" s="41" t="s">
        <v>60</v>
      </c>
      <c r="B6" s="42" t="s">
        <v>91</v>
      </c>
      <c r="C6" s="43">
        <v>20.0</v>
      </c>
      <c r="D6" s="43">
        <v>17.0</v>
      </c>
      <c r="E6" s="43">
        <v>24.0</v>
      </c>
      <c r="F6" s="43">
        <v>5.0</v>
      </c>
      <c r="G6" s="44" t="s">
        <v>92</v>
      </c>
    </row>
    <row r="7">
      <c r="A7" s="41" t="s">
        <v>40</v>
      </c>
      <c r="B7" s="42" t="s">
        <v>93</v>
      </c>
      <c r="C7" s="43">
        <v>12.0</v>
      </c>
      <c r="D7" s="43">
        <v>12.0</v>
      </c>
      <c r="E7" s="43">
        <v>12.0</v>
      </c>
      <c r="F7" s="43">
        <v>7.0</v>
      </c>
      <c r="G7" s="44" t="s">
        <v>94</v>
      </c>
    </row>
    <row r="8">
      <c r="A8" s="41" t="s">
        <v>42</v>
      </c>
      <c r="B8" s="42" t="s">
        <v>95</v>
      </c>
      <c r="C8" s="43">
        <v>12.0</v>
      </c>
      <c r="D8" s="43">
        <v>12.0</v>
      </c>
      <c r="E8" s="43">
        <v>12.0</v>
      </c>
      <c r="F8" s="43">
        <v>9.0</v>
      </c>
      <c r="G8" s="44" t="s">
        <v>96</v>
      </c>
    </row>
    <row r="9">
      <c r="A9" s="41" t="s">
        <v>43</v>
      </c>
      <c r="B9" s="42" t="s">
        <v>97</v>
      </c>
      <c r="C9" s="43">
        <v>12.0</v>
      </c>
      <c r="D9" s="43">
        <v>11.0</v>
      </c>
      <c r="E9" s="43">
        <v>12.0</v>
      </c>
      <c r="F9" s="43">
        <v>10.0</v>
      </c>
      <c r="G9" s="44" t="s">
        <v>96</v>
      </c>
    </row>
    <row r="10">
      <c r="A10" s="41" t="s">
        <v>44</v>
      </c>
      <c r="B10" s="42" t="s">
        <v>98</v>
      </c>
      <c r="C10" s="43" t="s">
        <v>99</v>
      </c>
      <c r="D10" s="43" t="s">
        <v>99</v>
      </c>
      <c r="E10" s="43">
        <v>12.0</v>
      </c>
      <c r="F10" s="43">
        <v>8.0</v>
      </c>
      <c r="G10" s="44" t="s">
        <v>100</v>
      </c>
    </row>
    <row r="11">
      <c r="A11" s="41" t="s">
        <v>45</v>
      </c>
      <c r="B11" s="42" t="s">
        <v>101</v>
      </c>
      <c r="C11" s="43" t="s">
        <v>99</v>
      </c>
      <c r="D11" s="43" t="s">
        <v>99</v>
      </c>
      <c r="E11" s="43" t="s">
        <v>99</v>
      </c>
      <c r="F11" s="43" t="s">
        <v>99</v>
      </c>
      <c r="G11" s="44" t="s">
        <v>102</v>
      </c>
    </row>
    <row r="12">
      <c r="A12" s="41" t="s">
        <v>46</v>
      </c>
      <c r="B12" s="42" t="s">
        <v>103</v>
      </c>
      <c r="C12" s="43">
        <v>11.0</v>
      </c>
      <c r="D12" s="43">
        <v>9.0</v>
      </c>
      <c r="E12" s="43">
        <v>12.0</v>
      </c>
      <c r="F12" s="43">
        <v>8.0</v>
      </c>
      <c r="G12" s="44" t="s">
        <v>104</v>
      </c>
    </row>
    <row r="13">
      <c r="A13" s="41" t="s">
        <v>47</v>
      </c>
      <c r="B13" s="42" t="s">
        <v>105</v>
      </c>
      <c r="C13" s="43">
        <v>9.0</v>
      </c>
      <c r="D13" s="43">
        <v>11.0</v>
      </c>
      <c r="E13" s="43">
        <v>12.0</v>
      </c>
      <c r="F13" s="43">
        <v>12.0</v>
      </c>
      <c r="G13" s="44" t="s">
        <v>86</v>
      </c>
    </row>
    <row r="14">
      <c r="A14" s="41" t="s">
        <v>48</v>
      </c>
      <c r="B14" s="42" t="s">
        <v>106</v>
      </c>
      <c r="C14" s="43">
        <v>8.0</v>
      </c>
      <c r="D14" s="43">
        <v>8.0</v>
      </c>
      <c r="E14" s="43">
        <v>8.0</v>
      </c>
      <c r="F14" s="43">
        <v>8.0</v>
      </c>
      <c r="G14" s="45" t="s">
        <v>107</v>
      </c>
    </row>
    <row r="15">
      <c r="A15" s="41" t="s">
        <v>48</v>
      </c>
      <c r="B15" s="42" t="s">
        <v>108</v>
      </c>
      <c r="C15" s="43">
        <v>6.0</v>
      </c>
      <c r="D15" s="43">
        <v>9.0</v>
      </c>
      <c r="E15" s="43">
        <v>12.0</v>
      </c>
      <c r="F15" s="43">
        <v>12.0</v>
      </c>
      <c r="G15" s="44" t="s">
        <v>109</v>
      </c>
    </row>
    <row r="16">
      <c r="A16" s="41" t="s">
        <v>49</v>
      </c>
      <c r="B16" s="42" t="s">
        <v>110</v>
      </c>
      <c r="C16" s="43">
        <v>12.0</v>
      </c>
      <c r="D16" s="43">
        <v>11.0</v>
      </c>
      <c r="E16" s="43">
        <v>10.0</v>
      </c>
      <c r="F16" s="43">
        <v>9.0</v>
      </c>
      <c r="G16" s="45" t="s">
        <v>111</v>
      </c>
    </row>
    <row r="17">
      <c r="A17" s="41" t="s">
        <v>49</v>
      </c>
      <c r="B17" s="42" t="s">
        <v>112</v>
      </c>
      <c r="C17" s="43">
        <v>20.0</v>
      </c>
      <c r="D17" s="43">
        <v>18.0</v>
      </c>
      <c r="E17" s="43">
        <v>24.0</v>
      </c>
      <c r="F17" s="43">
        <v>21.0</v>
      </c>
      <c r="G17" s="44" t="s">
        <v>113</v>
      </c>
    </row>
    <row r="18">
      <c r="A18" s="41" t="s">
        <v>50</v>
      </c>
      <c r="B18" s="42" t="s">
        <v>114</v>
      </c>
      <c r="C18" s="43">
        <v>20.0</v>
      </c>
      <c r="D18" s="43">
        <v>19.0</v>
      </c>
      <c r="E18" s="43">
        <v>24.0</v>
      </c>
      <c r="F18" s="43" t="s">
        <v>99</v>
      </c>
      <c r="G18" s="44" t="s">
        <v>115</v>
      </c>
    </row>
    <row r="19">
      <c r="A19" s="41" t="s">
        <v>51</v>
      </c>
      <c r="B19" s="42" t="s">
        <v>116</v>
      </c>
      <c r="C19" s="43">
        <v>10.0</v>
      </c>
      <c r="D19" s="43">
        <v>11.0</v>
      </c>
      <c r="E19" s="43">
        <v>12.0</v>
      </c>
      <c r="F19" s="43">
        <v>11.0</v>
      </c>
      <c r="G19" s="44" t="s">
        <v>86</v>
      </c>
    </row>
    <row r="20">
      <c r="A20" s="41" t="s">
        <v>52</v>
      </c>
      <c r="B20" s="42" t="s">
        <v>117</v>
      </c>
      <c r="C20" s="43">
        <v>21.0</v>
      </c>
      <c r="D20" s="43">
        <v>22.0</v>
      </c>
      <c r="E20" s="43">
        <v>24.0</v>
      </c>
      <c r="F20" s="43">
        <v>17.0</v>
      </c>
      <c r="G20" s="44" t="s">
        <v>90</v>
      </c>
    </row>
    <row r="21">
      <c r="A21" s="41" t="s">
        <v>53</v>
      </c>
      <c r="B21" s="42" t="s">
        <v>118</v>
      </c>
      <c r="C21" s="43">
        <v>16.0</v>
      </c>
      <c r="D21" s="43">
        <v>15.0</v>
      </c>
      <c r="E21" s="43">
        <v>16.0</v>
      </c>
      <c r="F21" s="43">
        <v>14.0</v>
      </c>
      <c r="G21" s="45" t="s">
        <v>119</v>
      </c>
    </row>
    <row r="22">
      <c r="A22" s="41" t="s">
        <v>53</v>
      </c>
      <c r="B22" s="42" t="s">
        <v>120</v>
      </c>
      <c r="C22" s="43">
        <v>43.0</v>
      </c>
      <c r="D22" s="43">
        <v>43.0</v>
      </c>
      <c r="E22" s="43">
        <v>60.0</v>
      </c>
      <c r="F22" s="43">
        <v>57.0</v>
      </c>
      <c r="G22" s="44" t="s">
        <v>121</v>
      </c>
    </row>
    <row r="23">
      <c r="A23" s="41" t="s">
        <v>54</v>
      </c>
      <c r="B23" s="42" t="s">
        <v>122</v>
      </c>
      <c r="C23" s="43">
        <v>22.0</v>
      </c>
      <c r="D23" s="43">
        <v>24.0</v>
      </c>
      <c r="E23" s="43">
        <v>24.0</v>
      </c>
      <c r="F23" s="43">
        <v>17.0</v>
      </c>
      <c r="G23" s="44" t="s">
        <v>123</v>
      </c>
    </row>
    <row r="24">
      <c r="A24" s="41" t="s">
        <v>55</v>
      </c>
      <c r="B24" s="42" t="s">
        <v>124</v>
      </c>
      <c r="C24" s="43">
        <v>12.0</v>
      </c>
      <c r="D24" s="43">
        <v>12.0</v>
      </c>
      <c r="E24" s="43">
        <v>11.0</v>
      </c>
      <c r="F24" s="43">
        <v>12.0</v>
      </c>
      <c r="G24" s="45" t="s">
        <v>125</v>
      </c>
    </row>
    <row r="25">
      <c r="A25" s="41" t="s">
        <v>55</v>
      </c>
      <c r="B25" s="42" t="s">
        <v>126</v>
      </c>
      <c r="C25" s="43">
        <v>60.0</v>
      </c>
      <c r="D25" s="43">
        <v>54.0</v>
      </c>
      <c r="E25" s="43">
        <v>72.0</v>
      </c>
      <c r="F25" s="43">
        <v>63.0</v>
      </c>
      <c r="G25" s="44" t="s">
        <v>127</v>
      </c>
    </row>
    <row r="26">
      <c r="A26" s="41" t="s">
        <v>61</v>
      </c>
      <c r="B26" s="42" t="s">
        <v>128</v>
      </c>
      <c r="C26" s="43">
        <v>16.0</v>
      </c>
      <c r="D26" s="43">
        <v>15.0</v>
      </c>
      <c r="E26" s="43">
        <v>12.0</v>
      </c>
      <c r="F26" s="43">
        <v>11.0</v>
      </c>
      <c r="G26" s="45" t="s">
        <v>129</v>
      </c>
    </row>
    <row r="27">
      <c r="A27" s="41" t="s">
        <v>61</v>
      </c>
      <c r="B27" s="42" t="s">
        <v>130</v>
      </c>
      <c r="C27" s="43">
        <v>28.0</v>
      </c>
      <c r="D27" s="43">
        <v>26.0</v>
      </c>
      <c r="E27" s="43">
        <v>30.0</v>
      </c>
      <c r="F27" s="43">
        <v>14.0</v>
      </c>
      <c r="G27" s="44" t="s">
        <v>131</v>
      </c>
    </row>
    <row r="28">
      <c r="A28" s="41" t="s">
        <v>63</v>
      </c>
      <c r="B28" s="42" t="s">
        <v>132</v>
      </c>
      <c r="C28" s="43">
        <v>5.0</v>
      </c>
      <c r="D28" s="43">
        <v>8.0</v>
      </c>
      <c r="E28" s="43">
        <v>8.0</v>
      </c>
      <c r="F28" s="43">
        <v>8.0</v>
      </c>
      <c r="G28" s="45" t="s">
        <v>133</v>
      </c>
    </row>
    <row r="29">
      <c r="A29" s="41" t="s">
        <v>63</v>
      </c>
      <c r="B29" s="42" t="s">
        <v>134</v>
      </c>
      <c r="C29" s="43">
        <v>25.0</v>
      </c>
      <c r="D29" s="43">
        <v>23.0</v>
      </c>
      <c r="E29" s="43">
        <v>30.0</v>
      </c>
      <c r="F29" s="43">
        <v>29.0</v>
      </c>
      <c r="G29" s="44" t="s">
        <v>135</v>
      </c>
    </row>
  </sheetData>
  <autoFilter ref="$A$1:$G$30">
    <sortState ref="A1:G30">
      <sortCondition ref="A1:A30"/>
    </sortState>
  </autoFilter>
  <mergeCells count="1">
    <mergeCell ref="A2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" t="s">
        <v>66</v>
      </c>
      <c r="B1" s="6" t="s">
        <v>31</v>
      </c>
      <c r="C1" s="6" t="s">
        <v>35</v>
      </c>
      <c r="D1" s="6" t="s">
        <v>36</v>
      </c>
      <c r="E1" s="6" t="s">
        <v>67</v>
      </c>
      <c r="F1" s="6" t="s">
        <v>37</v>
      </c>
      <c r="G1" s="6" t="s">
        <v>39</v>
      </c>
    </row>
    <row r="2">
      <c r="A2" s="16" t="s">
        <v>69</v>
      </c>
      <c r="B2" s="16" t="s">
        <v>56</v>
      </c>
      <c r="C2" s="17">
        <v>0.0</v>
      </c>
      <c r="D2" s="17">
        <v>0.0</v>
      </c>
      <c r="E2" s="17">
        <v>18.0</v>
      </c>
      <c r="F2" s="18">
        <f t="shared" ref="F2:F85" si="1">IF(B2="","",C2*IFERROR(VLOOKUP(B2,$J$6:$K$26,2,FALSE),0)*12+D2*IFERROR(VLOOKUP(B2,$J$6:$K$26,2,FALSE),0)+E2)</f>
        <v>18</v>
      </c>
      <c r="G2" s="19"/>
    </row>
    <row r="3">
      <c r="A3" s="46" t="s">
        <v>70</v>
      </c>
      <c r="B3" s="47" t="s">
        <v>56</v>
      </c>
      <c r="C3" s="48">
        <v>0.0</v>
      </c>
      <c r="D3" s="48">
        <v>1.0</v>
      </c>
      <c r="E3" s="48">
        <v>12.0</v>
      </c>
      <c r="F3" s="49">
        <f t="shared" si="1"/>
        <v>12</v>
      </c>
      <c r="G3" s="31"/>
    </row>
    <row r="4">
      <c r="A4" s="50" t="s">
        <v>71</v>
      </c>
      <c r="B4" s="28" t="s">
        <v>56</v>
      </c>
      <c r="C4" s="29">
        <v>0.0</v>
      </c>
      <c r="D4" s="30"/>
      <c r="E4" s="29">
        <v>20.0</v>
      </c>
      <c r="F4" s="30">
        <f t="shared" si="1"/>
        <v>20</v>
      </c>
      <c r="G4" s="19"/>
    </row>
    <row r="5">
      <c r="A5" s="36" t="s">
        <v>72</v>
      </c>
      <c r="B5" s="33" t="s">
        <v>56</v>
      </c>
      <c r="C5" s="34">
        <v>0.0</v>
      </c>
      <c r="D5" s="34">
        <v>0.0</v>
      </c>
      <c r="E5" s="34">
        <v>22.0</v>
      </c>
      <c r="F5" s="35">
        <f t="shared" si="1"/>
        <v>22</v>
      </c>
      <c r="G5" s="27"/>
    </row>
    <row r="6">
      <c r="A6" s="16" t="s">
        <v>69</v>
      </c>
      <c r="B6" s="22" t="s">
        <v>58</v>
      </c>
      <c r="C6" s="17">
        <v>0.0</v>
      </c>
      <c r="D6" s="17">
        <v>0.0</v>
      </c>
      <c r="E6" s="17">
        <v>2.0</v>
      </c>
      <c r="F6" s="18">
        <f t="shared" si="1"/>
        <v>2</v>
      </c>
      <c r="G6" s="19"/>
    </row>
    <row r="7">
      <c r="A7" s="46" t="s">
        <v>70</v>
      </c>
      <c r="B7" s="47" t="s">
        <v>58</v>
      </c>
      <c r="C7" s="48">
        <v>0.0</v>
      </c>
      <c r="D7" s="48">
        <v>1.0</v>
      </c>
      <c r="E7" s="48">
        <v>4.0</v>
      </c>
      <c r="F7" s="49">
        <f t="shared" si="1"/>
        <v>4</v>
      </c>
      <c r="G7" s="27"/>
    </row>
    <row r="8">
      <c r="A8" s="50" t="s">
        <v>71</v>
      </c>
      <c r="B8" s="28" t="s">
        <v>58</v>
      </c>
      <c r="C8" s="29">
        <v>0.0</v>
      </c>
      <c r="D8" s="30"/>
      <c r="E8" s="29">
        <v>19.0</v>
      </c>
      <c r="F8" s="30">
        <f t="shared" si="1"/>
        <v>19</v>
      </c>
      <c r="G8" s="27"/>
    </row>
    <row r="9">
      <c r="A9" s="36" t="s">
        <v>72</v>
      </c>
      <c r="B9" s="33" t="s">
        <v>58</v>
      </c>
      <c r="C9" s="34">
        <v>0.0</v>
      </c>
      <c r="D9" s="34">
        <v>1.0</v>
      </c>
      <c r="E9" s="34">
        <v>0.0</v>
      </c>
      <c r="F9" s="35">
        <f t="shared" si="1"/>
        <v>0</v>
      </c>
      <c r="G9" s="27"/>
    </row>
    <row r="10">
      <c r="A10" s="16" t="s">
        <v>69</v>
      </c>
      <c r="B10" s="22" t="s">
        <v>59</v>
      </c>
      <c r="C10" s="17">
        <v>0.0</v>
      </c>
      <c r="D10" s="17">
        <v>1.0</v>
      </c>
      <c r="E10" s="17">
        <v>9.0</v>
      </c>
      <c r="F10" s="18">
        <f t="shared" si="1"/>
        <v>9</v>
      </c>
      <c r="G10" s="19"/>
    </row>
    <row r="11">
      <c r="A11" s="46" t="s">
        <v>70</v>
      </c>
      <c r="B11" s="47" t="s">
        <v>59</v>
      </c>
      <c r="C11" s="48">
        <v>0.0</v>
      </c>
      <c r="D11" s="48">
        <v>1.0</v>
      </c>
      <c r="E11" s="48">
        <v>6.0</v>
      </c>
      <c r="F11" s="49">
        <f t="shared" si="1"/>
        <v>6</v>
      </c>
      <c r="G11" s="27"/>
    </row>
    <row r="12">
      <c r="A12" s="50" t="s">
        <v>71</v>
      </c>
      <c r="B12" s="28" t="s">
        <v>59</v>
      </c>
      <c r="C12" s="29">
        <v>0.0</v>
      </c>
      <c r="D12" s="30"/>
      <c r="E12" s="29">
        <v>22.0</v>
      </c>
      <c r="F12" s="30">
        <f t="shared" si="1"/>
        <v>22</v>
      </c>
      <c r="G12" s="27"/>
    </row>
    <row r="13">
      <c r="A13" s="36" t="s">
        <v>72</v>
      </c>
      <c r="B13" s="33" t="s">
        <v>59</v>
      </c>
      <c r="C13" s="34">
        <v>0.0</v>
      </c>
      <c r="D13" s="34">
        <v>0.0</v>
      </c>
      <c r="E13" s="34">
        <v>12.0</v>
      </c>
      <c r="F13" s="35">
        <f t="shared" si="1"/>
        <v>12</v>
      </c>
      <c r="G13" s="27"/>
    </row>
    <row r="14">
      <c r="A14" s="16" t="s">
        <v>69</v>
      </c>
      <c r="B14" s="22" t="s">
        <v>60</v>
      </c>
      <c r="C14" s="17">
        <v>0.0</v>
      </c>
      <c r="D14" s="17">
        <v>0.0</v>
      </c>
      <c r="E14" s="17">
        <v>0.0</v>
      </c>
      <c r="F14" s="18">
        <f t="shared" si="1"/>
        <v>0</v>
      </c>
      <c r="G14" s="19"/>
    </row>
    <row r="15">
      <c r="A15" s="46" t="s">
        <v>70</v>
      </c>
      <c r="B15" s="47" t="s">
        <v>60</v>
      </c>
      <c r="C15" s="48">
        <v>0.0</v>
      </c>
      <c r="D15" s="48">
        <v>1.0</v>
      </c>
      <c r="E15" s="48">
        <v>0.0</v>
      </c>
      <c r="F15" s="49">
        <f t="shared" si="1"/>
        <v>0</v>
      </c>
      <c r="G15" s="19"/>
    </row>
    <row r="16">
      <c r="A16" s="50" t="s">
        <v>71</v>
      </c>
      <c r="B16" s="28" t="s">
        <v>60</v>
      </c>
      <c r="C16" s="29">
        <v>0.0</v>
      </c>
      <c r="D16" s="29">
        <v>1.0</v>
      </c>
      <c r="E16" s="29">
        <v>0.0</v>
      </c>
      <c r="F16" s="30">
        <f t="shared" si="1"/>
        <v>0</v>
      </c>
      <c r="G16" s="27"/>
    </row>
    <row r="17">
      <c r="A17" s="36" t="s">
        <v>72</v>
      </c>
      <c r="B17" s="33" t="s">
        <v>60</v>
      </c>
      <c r="C17" s="34">
        <v>0.0</v>
      </c>
      <c r="D17" s="34">
        <v>0.0</v>
      </c>
      <c r="E17" s="34">
        <v>12.0</v>
      </c>
      <c r="F17" s="35">
        <f t="shared" si="1"/>
        <v>12</v>
      </c>
      <c r="G17" s="27"/>
    </row>
    <row r="18">
      <c r="A18" s="16" t="s">
        <v>69</v>
      </c>
      <c r="B18" s="22" t="s">
        <v>40</v>
      </c>
      <c r="C18" s="17">
        <v>0.0</v>
      </c>
      <c r="D18" s="17">
        <v>0.0</v>
      </c>
      <c r="E18" s="17">
        <v>0.0</v>
      </c>
      <c r="F18" s="18">
        <f t="shared" si="1"/>
        <v>0</v>
      </c>
      <c r="G18" s="19"/>
    </row>
    <row r="19">
      <c r="A19" s="46" t="s">
        <v>70</v>
      </c>
      <c r="B19" s="47" t="s">
        <v>40</v>
      </c>
      <c r="C19" s="48">
        <v>0.0</v>
      </c>
      <c r="D19" s="48">
        <v>1.0</v>
      </c>
      <c r="E19" s="48">
        <v>6.0</v>
      </c>
      <c r="F19" s="49">
        <f t="shared" si="1"/>
        <v>6</v>
      </c>
      <c r="G19" s="27"/>
    </row>
    <row r="20">
      <c r="A20" s="50" t="s">
        <v>71</v>
      </c>
      <c r="B20" s="28" t="s">
        <v>40</v>
      </c>
      <c r="C20" s="29">
        <v>0.0</v>
      </c>
      <c r="D20" s="29">
        <v>1.0</v>
      </c>
      <c r="E20" s="29">
        <v>2.0</v>
      </c>
      <c r="F20" s="30">
        <f t="shared" si="1"/>
        <v>2</v>
      </c>
      <c r="G20" s="27"/>
    </row>
    <row r="21">
      <c r="A21" s="36" t="s">
        <v>72</v>
      </c>
      <c r="B21" s="33" t="s">
        <v>40</v>
      </c>
      <c r="C21" s="34">
        <v>0.0</v>
      </c>
      <c r="D21" s="34">
        <v>0.0</v>
      </c>
      <c r="E21" s="34">
        <v>23.0</v>
      </c>
      <c r="F21" s="35">
        <f t="shared" si="1"/>
        <v>23</v>
      </c>
      <c r="G21" s="27"/>
    </row>
    <row r="22">
      <c r="A22" s="16" t="s">
        <v>69</v>
      </c>
      <c r="B22" s="22" t="s">
        <v>42</v>
      </c>
      <c r="C22" s="17">
        <v>0.0</v>
      </c>
      <c r="D22" s="17">
        <v>0.0</v>
      </c>
      <c r="E22" s="17">
        <v>0.0</v>
      </c>
      <c r="F22" s="18">
        <f t="shared" si="1"/>
        <v>0</v>
      </c>
      <c r="G22" s="19"/>
    </row>
    <row r="23">
      <c r="A23" s="47" t="s">
        <v>70</v>
      </c>
      <c r="B23" s="47" t="s">
        <v>42</v>
      </c>
      <c r="C23" s="48">
        <v>0.0</v>
      </c>
      <c r="D23" s="48">
        <v>1.0</v>
      </c>
      <c r="E23" s="48">
        <v>8.0</v>
      </c>
      <c r="F23" s="49">
        <f t="shared" si="1"/>
        <v>8</v>
      </c>
      <c r="G23" s="27"/>
    </row>
    <row r="24">
      <c r="A24" s="28" t="s">
        <v>71</v>
      </c>
      <c r="B24" s="28" t="s">
        <v>42</v>
      </c>
      <c r="C24" s="29">
        <v>0.0</v>
      </c>
      <c r="D24" s="30"/>
      <c r="E24" s="29">
        <v>20.0</v>
      </c>
      <c r="F24" s="30">
        <f t="shared" si="1"/>
        <v>20</v>
      </c>
      <c r="G24" s="27"/>
    </row>
    <row r="25">
      <c r="A25" s="32" t="s">
        <v>72</v>
      </c>
      <c r="B25" s="33" t="s">
        <v>42</v>
      </c>
      <c r="C25" s="34">
        <v>0.0</v>
      </c>
      <c r="D25" s="34">
        <v>0.0</v>
      </c>
      <c r="E25" s="34">
        <v>21.0</v>
      </c>
      <c r="F25" s="35">
        <f t="shared" si="1"/>
        <v>21</v>
      </c>
      <c r="G25" s="27"/>
    </row>
    <row r="26">
      <c r="A26" s="22" t="s">
        <v>69</v>
      </c>
      <c r="B26" s="22" t="s">
        <v>43</v>
      </c>
      <c r="C26" s="17">
        <v>0.0</v>
      </c>
      <c r="D26" s="17">
        <v>0.0</v>
      </c>
      <c r="E26" s="17">
        <v>0.0</v>
      </c>
      <c r="F26" s="18">
        <f t="shared" si="1"/>
        <v>0</v>
      </c>
      <c r="G26" s="19"/>
    </row>
    <row r="27">
      <c r="A27" s="47" t="s">
        <v>70</v>
      </c>
      <c r="B27" s="47" t="s">
        <v>43</v>
      </c>
      <c r="C27" s="48">
        <v>0.0</v>
      </c>
      <c r="D27" s="48">
        <v>1.0</v>
      </c>
      <c r="E27" s="48">
        <v>9.0</v>
      </c>
      <c r="F27" s="49">
        <f t="shared" si="1"/>
        <v>9</v>
      </c>
      <c r="G27" s="27"/>
    </row>
    <row r="28">
      <c r="A28" s="28" t="s">
        <v>71</v>
      </c>
      <c r="B28" s="28" t="s">
        <v>43</v>
      </c>
      <c r="C28" s="29">
        <v>0.0</v>
      </c>
      <c r="D28" s="30"/>
      <c r="E28" s="29">
        <v>21.0</v>
      </c>
      <c r="F28" s="30">
        <f t="shared" si="1"/>
        <v>21</v>
      </c>
      <c r="G28" s="27"/>
    </row>
    <row r="29">
      <c r="A29" s="32" t="s">
        <v>72</v>
      </c>
      <c r="B29" s="33" t="s">
        <v>43</v>
      </c>
      <c r="C29" s="34">
        <v>0.0</v>
      </c>
      <c r="D29" s="34">
        <v>0.0</v>
      </c>
      <c r="E29" s="34">
        <v>23.0</v>
      </c>
      <c r="F29" s="35">
        <f t="shared" si="1"/>
        <v>23</v>
      </c>
      <c r="G29" s="27"/>
    </row>
    <row r="30">
      <c r="A30" s="22" t="s">
        <v>69</v>
      </c>
      <c r="B30" s="22" t="s">
        <v>44</v>
      </c>
      <c r="C30" s="17">
        <v>0.0</v>
      </c>
      <c r="D30" s="17">
        <v>0.0</v>
      </c>
      <c r="E30" s="17">
        <v>0.0</v>
      </c>
      <c r="F30" s="18">
        <f t="shared" si="1"/>
        <v>0</v>
      </c>
      <c r="G30" s="19"/>
    </row>
    <row r="31">
      <c r="A31" s="47" t="s">
        <v>70</v>
      </c>
      <c r="B31" s="47" t="s">
        <v>44</v>
      </c>
      <c r="C31" s="48">
        <v>0.0</v>
      </c>
      <c r="D31" s="48">
        <v>0.0</v>
      </c>
      <c r="E31" s="48">
        <v>12.0</v>
      </c>
      <c r="F31" s="49">
        <f t="shared" si="1"/>
        <v>12</v>
      </c>
      <c r="G31" s="27"/>
    </row>
    <row r="32">
      <c r="A32" s="28" t="s">
        <v>71</v>
      </c>
      <c r="B32" s="28" t="s">
        <v>44</v>
      </c>
      <c r="C32" s="29">
        <v>0.0</v>
      </c>
      <c r="D32" s="30"/>
      <c r="E32" s="29">
        <v>0.0</v>
      </c>
      <c r="F32" s="30">
        <f t="shared" si="1"/>
        <v>0</v>
      </c>
      <c r="G32" s="27"/>
    </row>
    <row r="33">
      <c r="A33" s="32" t="s">
        <v>72</v>
      </c>
      <c r="B33" s="33" t="s">
        <v>44</v>
      </c>
      <c r="C33" s="34">
        <v>0.0</v>
      </c>
      <c r="D33" s="34">
        <v>0.0</v>
      </c>
      <c r="E33" s="34">
        <v>0.0</v>
      </c>
      <c r="F33" s="35">
        <f t="shared" si="1"/>
        <v>0</v>
      </c>
      <c r="G33" s="27"/>
    </row>
    <row r="34">
      <c r="A34" s="22" t="s">
        <v>69</v>
      </c>
      <c r="B34" s="22" t="s">
        <v>45</v>
      </c>
      <c r="C34" s="17">
        <v>0.0</v>
      </c>
      <c r="D34" s="17">
        <v>0.0</v>
      </c>
      <c r="E34" s="17">
        <v>0.0</v>
      </c>
      <c r="F34" s="18">
        <f t="shared" si="1"/>
        <v>0</v>
      </c>
      <c r="G34" s="19"/>
    </row>
    <row r="35">
      <c r="A35" s="47" t="s">
        <v>70</v>
      </c>
      <c r="B35" s="47" t="s">
        <v>45</v>
      </c>
      <c r="C35" s="48">
        <v>0.0</v>
      </c>
      <c r="D35" s="48">
        <v>0.0</v>
      </c>
      <c r="E35" s="48">
        <v>0.0</v>
      </c>
      <c r="F35" s="49">
        <f t="shared" si="1"/>
        <v>0</v>
      </c>
      <c r="G35" s="27"/>
    </row>
    <row r="36">
      <c r="A36" s="28" t="s">
        <v>71</v>
      </c>
      <c r="B36" s="28" t="s">
        <v>45</v>
      </c>
      <c r="C36" s="29">
        <v>0.0</v>
      </c>
      <c r="D36" s="30"/>
      <c r="E36" s="29">
        <v>0.0</v>
      </c>
      <c r="F36" s="30">
        <f t="shared" si="1"/>
        <v>0</v>
      </c>
      <c r="G36" s="27"/>
    </row>
    <row r="37">
      <c r="A37" s="32" t="s">
        <v>72</v>
      </c>
      <c r="B37" s="33" t="s">
        <v>45</v>
      </c>
      <c r="C37" s="34">
        <v>0.0</v>
      </c>
      <c r="D37" s="34">
        <v>0.0</v>
      </c>
      <c r="E37" s="34">
        <v>0.0</v>
      </c>
      <c r="F37" s="35">
        <f t="shared" si="1"/>
        <v>0</v>
      </c>
      <c r="G37" s="27"/>
    </row>
    <row r="38">
      <c r="A38" s="22" t="s">
        <v>69</v>
      </c>
      <c r="B38" s="22" t="s">
        <v>46</v>
      </c>
      <c r="C38" s="17">
        <v>0.0</v>
      </c>
      <c r="D38" s="17">
        <v>0.0</v>
      </c>
      <c r="E38" s="17">
        <v>20.0</v>
      </c>
      <c r="F38" s="18">
        <f t="shared" si="1"/>
        <v>20</v>
      </c>
      <c r="G38" s="19"/>
    </row>
    <row r="39">
      <c r="A39" s="47" t="s">
        <v>70</v>
      </c>
      <c r="B39" s="47" t="s">
        <v>46</v>
      </c>
      <c r="C39" s="48">
        <v>0.0</v>
      </c>
      <c r="D39" s="48">
        <v>1.0</v>
      </c>
      <c r="E39" s="48">
        <v>18.0</v>
      </c>
      <c r="F39" s="49">
        <f t="shared" si="1"/>
        <v>18</v>
      </c>
      <c r="G39" s="27"/>
    </row>
    <row r="40">
      <c r="A40" s="28" t="s">
        <v>71</v>
      </c>
      <c r="B40" s="28" t="s">
        <v>46</v>
      </c>
      <c r="C40" s="29">
        <v>0.0</v>
      </c>
      <c r="D40" s="30"/>
      <c r="E40" s="29">
        <v>19.0</v>
      </c>
      <c r="F40" s="30">
        <f t="shared" si="1"/>
        <v>19</v>
      </c>
      <c r="G40" s="27"/>
    </row>
    <row r="41">
      <c r="A41" s="32" t="s">
        <v>72</v>
      </c>
      <c r="B41" s="33" t="s">
        <v>46</v>
      </c>
      <c r="C41" s="34">
        <v>0.0</v>
      </c>
      <c r="D41" s="34">
        <v>0.0</v>
      </c>
      <c r="E41" s="34">
        <v>19.0</v>
      </c>
      <c r="F41" s="35">
        <f t="shared" si="1"/>
        <v>19</v>
      </c>
      <c r="G41" s="27"/>
    </row>
    <row r="42">
      <c r="A42" s="22" t="s">
        <v>69</v>
      </c>
      <c r="B42" s="22" t="s">
        <v>47</v>
      </c>
      <c r="C42" s="17">
        <v>0.0</v>
      </c>
      <c r="D42" s="17">
        <v>0.0</v>
      </c>
      <c r="E42" s="17">
        <v>8.0</v>
      </c>
      <c r="F42" s="18">
        <f t="shared" si="1"/>
        <v>8</v>
      </c>
      <c r="G42" s="19"/>
    </row>
    <row r="43">
      <c r="A43" s="47" t="s">
        <v>70</v>
      </c>
      <c r="B43" s="47" t="s">
        <v>47</v>
      </c>
      <c r="C43" s="48">
        <v>0.0</v>
      </c>
      <c r="D43" s="48">
        <v>2.0</v>
      </c>
      <c r="E43" s="48">
        <v>17.0</v>
      </c>
      <c r="F43" s="49">
        <f t="shared" si="1"/>
        <v>17</v>
      </c>
      <c r="G43" s="27"/>
    </row>
    <row r="44">
      <c r="A44" s="28" t="s">
        <v>71</v>
      </c>
      <c r="B44" s="28" t="s">
        <v>47</v>
      </c>
      <c r="C44" s="29">
        <v>0.0</v>
      </c>
      <c r="D44" s="29">
        <v>1.0</v>
      </c>
      <c r="E44" s="29">
        <v>15.0</v>
      </c>
      <c r="F44" s="30">
        <f t="shared" si="1"/>
        <v>15</v>
      </c>
      <c r="G44" s="27"/>
    </row>
    <row r="45">
      <c r="A45" s="32" t="s">
        <v>72</v>
      </c>
      <c r="B45" s="33" t="s">
        <v>47</v>
      </c>
      <c r="C45" s="34">
        <v>0.0</v>
      </c>
      <c r="D45" s="34">
        <v>0.0</v>
      </c>
      <c r="E45" s="34">
        <v>16.0</v>
      </c>
      <c r="F45" s="35">
        <f t="shared" si="1"/>
        <v>16</v>
      </c>
      <c r="G45" s="27"/>
    </row>
    <row r="46">
      <c r="A46" s="22" t="s">
        <v>69</v>
      </c>
      <c r="B46" s="22" t="s">
        <v>48</v>
      </c>
      <c r="C46" s="17">
        <v>0.0</v>
      </c>
      <c r="D46" s="17">
        <v>1.0</v>
      </c>
      <c r="E46" s="17">
        <v>0.0</v>
      </c>
      <c r="F46" s="18">
        <f t="shared" si="1"/>
        <v>0</v>
      </c>
      <c r="G46" s="19"/>
    </row>
    <row r="47">
      <c r="A47" s="47" t="s">
        <v>70</v>
      </c>
      <c r="B47" s="47" t="s">
        <v>48</v>
      </c>
      <c r="C47" s="48">
        <v>0.0</v>
      </c>
      <c r="D47" s="48">
        <v>3.0</v>
      </c>
      <c r="E47" s="48">
        <v>5.0</v>
      </c>
      <c r="F47" s="49">
        <f t="shared" si="1"/>
        <v>5</v>
      </c>
      <c r="G47" s="27"/>
    </row>
    <row r="48">
      <c r="A48" s="28" t="s">
        <v>71</v>
      </c>
      <c r="B48" s="28" t="s">
        <v>48</v>
      </c>
      <c r="C48" s="29">
        <v>0.0</v>
      </c>
      <c r="D48" s="29">
        <v>1.0</v>
      </c>
      <c r="E48" s="29">
        <v>3.0</v>
      </c>
      <c r="F48" s="30">
        <f t="shared" si="1"/>
        <v>3</v>
      </c>
      <c r="G48" s="27"/>
    </row>
    <row r="49">
      <c r="A49" s="32" t="s">
        <v>72</v>
      </c>
      <c r="B49" s="33" t="s">
        <v>48</v>
      </c>
      <c r="C49" s="34">
        <v>0.0</v>
      </c>
      <c r="D49" s="34">
        <v>0.0</v>
      </c>
      <c r="E49" s="34">
        <v>19.0</v>
      </c>
      <c r="F49" s="35">
        <f t="shared" si="1"/>
        <v>19</v>
      </c>
      <c r="G49" s="27"/>
    </row>
    <row r="50">
      <c r="A50" s="22" t="s">
        <v>69</v>
      </c>
      <c r="B50" s="22" t="s">
        <v>49</v>
      </c>
      <c r="C50" s="17">
        <v>0.0</v>
      </c>
      <c r="D50" s="17">
        <v>1.0</v>
      </c>
      <c r="E50" s="17">
        <v>20.0</v>
      </c>
      <c r="F50" s="18">
        <f t="shared" si="1"/>
        <v>20</v>
      </c>
      <c r="G50" s="19"/>
    </row>
    <row r="51">
      <c r="A51" s="47" t="s">
        <v>70</v>
      </c>
      <c r="B51" s="47" t="s">
        <v>49</v>
      </c>
      <c r="C51" s="48">
        <v>0.0</v>
      </c>
      <c r="D51" s="48">
        <v>3.0</v>
      </c>
      <c r="E51" s="48">
        <v>1.0</v>
      </c>
      <c r="F51" s="49">
        <f t="shared" si="1"/>
        <v>1</v>
      </c>
      <c r="G51" s="27"/>
    </row>
    <row r="52">
      <c r="A52" s="28" t="s">
        <v>71</v>
      </c>
      <c r="B52" s="28" t="s">
        <v>49</v>
      </c>
      <c r="C52" s="29">
        <v>0.0</v>
      </c>
      <c r="D52" s="29">
        <v>1.0</v>
      </c>
      <c r="E52" s="29">
        <v>14.0</v>
      </c>
      <c r="F52" s="30">
        <f t="shared" si="1"/>
        <v>14</v>
      </c>
      <c r="G52" s="27"/>
    </row>
    <row r="53">
      <c r="A53" s="32" t="s">
        <v>72</v>
      </c>
      <c r="B53" s="33" t="s">
        <v>49</v>
      </c>
      <c r="C53" s="34">
        <v>0.0</v>
      </c>
      <c r="D53" s="34">
        <v>0.0</v>
      </c>
      <c r="E53" s="34">
        <v>21.0</v>
      </c>
      <c r="F53" s="35">
        <f t="shared" si="1"/>
        <v>21</v>
      </c>
      <c r="G53" s="27"/>
    </row>
    <row r="54">
      <c r="A54" s="22" t="s">
        <v>69</v>
      </c>
      <c r="B54" s="22" t="s">
        <v>50</v>
      </c>
      <c r="C54" s="17">
        <v>0.0</v>
      </c>
      <c r="D54" s="17">
        <v>0.0</v>
      </c>
      <c r="E54" s="17">
        <v>0.0</v>
      </c>
      <c r="F54" s="18">
        <f t="shared" si="1"/>
        <v>0</v>
      </c>
      <c r="G54" s="19"/>
    </row>
    <row r="55">
      <c r="A55" s="47" t="s">
        <v>70</v>
      </c>
      <c r="B55" s="47" t="s">
        <v>50</v>
      </c>
      <c r="C55" s="48">
        <v>0.0</v>
      </c>
      <c r="D55" s="48">
        <v>1.0</v>
      </c>
      <c r="E55" s="48">
        <v>14.0</v>
      </c>
      <c r="F55" s="49">
        <f t="shared" si="1"/>
        <v>14</v>
      </c>
      <c r="G55" s="27"/>
    </row>
    <row r="56">
      <c r="A56" s="28" t="s">
        <v>71</v>
      </c>
      <c r="B56" s="28" t="s">
        <v>50</v>
      </c>
      <c r="C56" s="29">
        <v>0.0</v>
      </c>
      <c r="D56" s="30"/>
      <c r="E56" s="29">
        <v>17.0</v>
      </c>
      <c r="F56" s="30">
        <f t="shared" si="1"/>
        <v>17</v>
      </c>
      <c r="G56" s="27"/>
    </row>
    <row r="57">
      <c r="A57" s="32" t="s">
        <v>72</v>
      </c>
      <c r="B57" s="33" t="s">
        <v>50</v>
      </c>
      <c r="C57" s="34">
        <v>0.0</v>
      </c>
      <c r="D57" s="34">
        <v>0.0</v>
      </c>
      <c r="E57" s="34">
        <v>16.0</v>
      </c>
      <c r="F57" s="35">
        <f t="shared" si="1"/>
        <v>16</v>
      </c>
      <c r="G57" s="27"/>
    </row>
    <row r="58">
      <c r="A58" s="22" t="s">
        <v>69</v>
      </c>
      <c r="B58" s="22" t="s">
        <v>51</v>
      </c>
      <c r="C58" s="17">
        <v>0.0</v>
      </c>
      <c r="D58" s="17">
        <v>0.0</v>
      </c>
      <c r="E58" s="17">
        <v>20.0</v>
      </c>
      <c r="F58" s="18">
        <f t="shared" si="1"/>
        <v>20</v>
      </c>
      <c r="G58" s="19"/>
    </row>
    <row r="59">
      <c r="A59" s="47" t="s">
        <v>70</v>
      </c>
      <c r="B59" s="47" t="s">
        <v>51</v>
      </c>
      <c r="C59" s="48">
        <v>0.0</v>
      </c>
      <c r="D59" s="48">
        <v>1.0</v>
      </c>
      <c r="E59" s="48">
        <v>22.0</v>
      </c>
      <c r="F59" s="49">
        <f t="shared" si="1"/>
        <v>22</v>
      </c>
      <c r="G59" s="27"/>
    </row>
    <row r="60">
      <c r="A60" s="28" t="s">
        <v>71</v>
      </c>
      <c r="B60" s="28" t="s">
        <v>51</v>
      </c>
      <c r="C60" s="29">
        <v>0.0</v>
      </c>
      <c r="D60" s="29">
        <v>1.0</v>
      </c>
      <c r="E60" s="29">
        <v>12.0</v>
      </c>
      <c r="F60" s="30">
        <f t="shared" si="1"/>
        <v>12</v>
      </c>
      <c r="G60" s="27"/>
    </row>
    <row r="61">
      <c r="A61" s="32" t="s">
        <v>72</v>
      </c>
      <c r="B61" s="33" t="s">
        <v>51</v>
      </c>
      <c r="C61" s="34">
        <v>0.0</v>
      </c>
      <c r="D61" s="34">
        <v>0.0</v>
      </c>
      <c r="E61" s="34">
        <v>14.0</v>
      </c>
      <c r="F61" s="35">
        <f t="shared" si="1"/>
        <v>14</v>
      </c>
      <c r="G61" s="27"/>
    </row>
    <row r="62">
      <c r="A62" s="22" t="s">
        <v>69</v>
      </c>
      <c r="B62" s="22" t="s">
        <v>52</v>
      </c>
      <c r="C62" s="17">
        <v>0.0</v>
      </c>
      <c r="D62" s="17">
        <v>0.0</v>
      </c>
      <c r="E62" s="17">
        <v>3.0</v>
      </c>
      <c r="F62" s="18">
        <f t="shared" si="1"/>
        <v>3</v>
      </c>
      <c r="G62" s="19"/>
    </row>
    <row r="63">
      <c r="A63" s="47" t="s">
        <v>70</v>
      </c>
      <c r="B63" s="47" t="s">
        <v>52</v>
      </c>
      <c r="C63" s="48">
        <v>0.0</v>
      </c>
      <c r="D63" s="48">
        <v>2.0</v>
      </c>
      <c r="E63" s="48">
        <v>9.0</v>
      </c>
      <c r="F63" s="49">
        <f t="shared" si="1"/>
        <v>9</v>
      </c>
      <c r="G63" s="31"/>
    </row>
    <row r="64">
      <c r="A64" s="28" t="s">
        <v>71</v>
      </c>
      <c r="B64" s="28" t="s">
        <v>52</v>
      </c>
      <c r="C64" s="29">
        <v>0.0</v>
      </c>
      <c r="D64" s="29">
        <v>1.0</v>
      </c>
      <c r="E64" s="29">
        <v>1.0</v>
      </c>
      <c r="F64" s="30">
        <f t="shared" si="1"/>
        <v>1</v>
      </c>
      <c r="G64" s="31"/>
    </row>
    <row r="65">
      <c r="A65" s="32" t="s">
        <v>72</v>
      </c>
      <c r="B65" s="33" t="s">
        <v>52</v>
      </c>
      <c r="C65" s="34">
        <v>0.0</v>
      </c>
      <c r="D65" s="34">
        <v>0.0</v>
      </c>
      <c r="E65" s="34">
        <v>19.0</v>
      </c>
      <c r="F65" s="35">
        <f t="shared" si="1"/>
        <v>19</v>
      </c>
      <c r="G65" s="31"/>
    </row>
    <row r="66">
      <c r="A66" s="22" t="s">
        <v>69</v>
      </c>
      <c r="B66" s="22" t="s">
        <v>53</v>
      </c>
      <c r="C66" s="51">
        <v>0.0</v>
      </c>
      <c r="D66" s="51">
        <v>3.0</v>
      </c>
      <c r="E66" s="51">
        <v>16.0</v>
      </c>
      <c r="F66" s="18">
        <f t="shared" si="1"/>
        <v>16</v>
      </c>
    </row>
    <row r="67">
      <c r="A67" s="47" t="s">
        <v>70</v>
      </c>
      <c r="B67" s="47" t="s">
        <v>53</v>
      </c>
      <c r="C67" s="52">
        <v>0.0</v>
      </c>
      <c r="D67" s="52">
        <v>7.0</v>
      </c>
      <c r="E67" s="52">
        <v>13.0</v>
      </c>
      <c r="F67" s="49">
        <f t="shared" si="1"/>
        <v>13</v>
      </c>
      <c r="G67" s="31"/>
    </row>
    <row r="68">
      <c r="A68" s="28" t="s">
        <v>71</v>
      </c>
      <c r="B68" s="28" t="s">
        <v>53</v>
      </c>
      <c r="C68" s="53">
        <v>0.0</v>
      </c>
      <c r="D68" s="53">
        <v>3.0</v>
      </c>
      <c r="E68" s="53">
        <v>7.0</v>
      </c>
      <c r="F68" s="30">
        <f t="shared" si="1"/>
        <v>7</v>
      </c>
      <c r="G68" s="31"/>
    </row>
    <row r="69">
      <c r="A69" s="32" t="s">
        <v>72</v>
      </c>
      <c r="B69" s="33" t="s">
        <v>53</v>
      </c>
      <c r="C69" s="36">
        <v>0.0</v>
      </c>
      <c r="D69" s="36">
        <v>1.0</v>
      </c>
      <c r="E69" s="36">
        <v>1.0</v>
      </c>
      <c r="F69" s="35">
        <f t="shared" si="1"/>
        <v>1</v>
      </c>
      <c r="G69" s="31"/>
    </row>
    <row r="70">
      <c r="A70" s="22" t="s">
        <v>69</v>
      </c>
      <c r="B70" s="22" t="s">
        <v>54</v>
      </c>
      <c r="C70" s="51">
        <v>0.0</v>
      </c>
      <c r="D70" s="51">
        <v>0.0</v>
      </c>
      <c r="E70" s="51">
        <v>0.0</v>
      </c>
      <c r="F70" s="18">
        <f t="shared" si="1"/>
        <v>0</v>
      </c>
    </row>
    <row r="71">
      <c r="A71" s="47" t="s">
        <v>70</v>
      </c>
      <c r="B71" s="47" t="s">
        <v>54</v>
      </c>
      <c r="C71" s="52">
        <v>0.0</v>
      </c>
      <c r="D71" s="52">
        <v>2.0</v>
      </c>
      <c r="E71" s="52">
        <v>18.0</v>
      </c>
      <c r="F71" s="49">
        <f t="shared" si="1"/>
        <v>18</v>
      </c>
      <c r="G71" s="31"/>
    </row>
    <row r="72">
      <c r="A72" s="28" t="s">
        <v>71</v>
      </c>
      <c r="B72" s="28" t="s">
        <v>54</v>
      </c>
      <c r="C72" s="53">
        <v>0.0</v>
      </c>
      <c r="D72" s="53">
        <v>1.0</v>
      </c>
      <c r="E72" s="53">
        <v>15.0</v>
      </c>
      <c r="F72" s="30">
        <f t="shared" si="1"/>
        <v>15</v>
      </c>
      <c r="G72" s="31"/>
    </row>
    <row r="73">
      <c r="A73" s="32" t="s">
        <v>72</v>
      </c>
      <c r="B73" s="33" t="s">
        <v>54</v>
      </c>
      <c r="C73" s="36">
        <v>0.0</v>
      </c>
      <c r="D73" s="36">
        <v>0.0</v>
      </c>
      <c r="E73" s="36">
        <v>23.0</v>
      </c>
      <c r="F73" s="35">
        <f t="shared" si="1"/>
        <v>23</v>
      </c>
      <c r="G73" s="31"/>
    </row>
    <row r="74">
      <c r="A74" s="22" t="s">
        <v>69</v>
      </c>
      <c r="B74" s="22" t="s">
        <v>55</v>
      </c>
      <c r="C74" s="51">
        <v>0.0</v>
      </c>
      <c r="D74" s="51">
        <v>0.0</v>
      </c>
      <c r="E74" s="51">
        <v>0.0</v>
      </c>
      <c r="F74" s="18">
        <f t="shared" si="1"/>
        <v>0</v>
      </c>
    </row>
    <row r="75">
      <c r="A75" s="47" t="s">
        <v>70</v>
      </c>
      <c r="B75" s="47" t="s">
        <v>55</v>
      </c>
      <c r="C75" s="52">
        <v>0.0</v>
      </c>
      <c r="D75" s="52">
        <v>3.0</v>
      </c>
      <c r="E75" s="52">
        <v>9.0</v>
      </c>
      <c r="F75" s="49">
        <f t="shared" si="1"/>
        <v>9</v>
      </c>
      <c r="G75" s="31"/>
    </row>
    <row r="76">
      <c r="A76" s="28" t="s">
        <v>71</v>
      </c>
      <c r="B76" s="28" t="s">
        <v>55</v>
      </c>
      <c r="C76" s="53">
        <v>0.0</v>
      </c>
      <c r="D76" s="53">
        <v>1.0</v>
      </c>
      <c r="E76" s="53">
        <v>8.0</v>
      </c>
      <c r="F76" s="30">
        <f t="shared" si="1"/>
        <v>8</v>
      </c>
      <c r="G76" s="31"/>
    </row>
    <row r="77">
      <c r="A77" s="32" t="s">
        <v>72</v>
      </c>
      <c r="B77" s="33" t="s">
        <v>55</v>
      </c>
      <c r="C77" s="36">
        <v>0.0</v>
      </c>
      <c r="D77" s="36">
        <v>1.0</v>
      </c>
      <c r="E77" s="36">
        <v>12.0</v>
      </c>
      <c r="F77" s="35">
        <f t="shared" si="1"/>
        <v>12</v>
      </c>
      <c r="G77" s="31"/>
    </row>
    <row r="78">
      <c r="A78" s="22" t="s">
        <v>69</v>
      </c>
      <c r="B78" s="22" t="s">
        <v>61</v>
      </c>
      <c r="C78" s="51">
        <v>0.0</v>
      </c>
      <c r="D78" s="51">
        <v>0.0</v>
      </c>
      <c r="E78" s="51">
        <v>0.0</v>
      </c>
      <c r="F78" s="18">
        <f t="shared" si="1"/>
        <v>0</v>
      </c>
    </row>
    <row r="79">
      <c r="A79" s="47" t="s">
        <v>70</v>
      </c>
      <c r="B79" s="47" t="s">
        <v>61</v>
      </c>
      <c r="C79" s="52">
        <v>0.0</v>
      </c>
      <c r="D79" s="52">
        <v>16.0</v>
      </c>
      <c r="E79" s="52">
        <v>0.0</v>
      </c>
      <c r="F79" s="49">
        <f t="shared" si="1"/>
        <v>0</v>
      </c>
    </row>
    <row r="80">
      <c r="A80" s="28" t="s">
        <v>71</v>
      </c>
      <c r="B80" s="28" t="s">
        <v>61</v>
      </c>
      <c r="C80" s="53">
        <v>0.0</v>
      </c>
      <c r="D80" s="53">
        <v>1.0</v>
      </c>
      <c r="E80" s="53">
        <v>5.0</v>
      </c>
      <c r="F80" s="30">
        <f t="shared" si="1"/>
        <v>5</v>
      </c>
      <c r="G80" s="31"/>
    </row>
    <row r="81">
      <c r="A81" s="32" t="s">
        <v>72</v>
      </c>
      <c r="B81" s="33" t="s">
        <v>61</v>
      </c>
      <c r="C81" s="36">
        <v>0.0</v>
      </c>
      <c r="D81" s="36">
        <v>0.0</v>
      </c>
      <c r="E81" s="36">
        <v>4.0</v>
      </c>
      <c r="F81" s="35">
        <f t="shared" si="1"/>
        <v>4</v>
      </c>
      <c r="G81" s="31"/>
    </row>
    <row r="82">
      <c r="A82" s="22" t="s">
        <v>69</v>
      </c>
      <c r="B82" s="22" t="s">
        <v>63</v>
      </c>
      <c r="C82" s="51">
        <v>0.0</v>
      </c>
      <c r="D82" s="51">
        <v>2.0</v>
      </c>
      <c r="E82" s="51">
        <v>0.0</v>
      </c>
      <c r="F82" s="18">
        <f t="shared" si="1"/>
        <v>0</v>
      </c>
    </row>
    <row r="83">
      <c r="A83" s="47" t="s">
        <v>70</v>
      </c>
      <c r="B83" s="47" t="s">
        <v>63</v>
      </c>
      <c r="C83" s="52">
        <v>0.0</v>
      </c>
      <c r="D83" s="52">
        <v>10.0</v>
      </c>
      <c r="E83" s="52">
        <v>9.0</v>
      </c>
      <c r="F83" s="49">
        <f t="shared" si="1"/>
        <v>9</v>
      </c>
    </row>
    <row r="84">
      <c r="A84" s="28" t="s">
        <v>71</v>
      </c>
      <c r="B84" s="28" t="s">
        <v>63</v>
      </c>
      <c r="C84" s="53">
        <v>0.0</v>
      </c>
      <c r="D84" s="53">
        <v>1.0</v>
      </c>
      <c r="E84" s="53">
        <v>3.0</v>
      </c>
      <c r="F84" s="30">
        <f t="shared" si="1"/>
        <v>3</v>
      </c>
      <c r="G84" s="31"/>
    </row>
    <row r="85">
      <c r="A85" s="32" t="s">
        <v>72</v>
      </c>
      <c r="B85" s="33" t="s">
        <v>63</v>
      </c>
      <c r="C85" s="36">
        <v>0.0</v>
      </c>
      <c r="D85" s="36">
        <v>0.0</v>
      </c>
      <c r="E85" s="36">
        <v>0.0</v>
      </c>
      <c r="F85" s="35">
        <f t="shared" si="1"/>
        <v>0</v>
      </c>
      <c r="G85" s="31"/>
    </row>
  </sheetData>
  <autoFilter ref="$A$1:$Z$85">
    <sortState ref="A1:Z85">
      <sortCondition ref="B1:B85"/>
      <sortCondition ref="A1:A85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2026-04-27T08:44:01Z</dcterms:created>
  <dc:creator>openpyxl</dc:creator>
</cp:coreProperties>
</file>