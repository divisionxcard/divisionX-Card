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in_Stock" sheetId="2" state="visible" r:id="rId2"/>
    <sheet name="User_St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365D"/>
      <sz val="16"/>
    </font>
    <font>
      <sz val="11"/>
    </font>
    <font>
      <b val="1"/>
      <color rgb="002C5282"/>
      <sz val="12"/>
    </font>
    <font>
      <i val="1"/>
      <color rgb="00718096"/>
      <sz val="9"/>
    </font>
    <font>
      <b val="1"/>
      <color rgb="00FFFFFF"/>
      <sz val="11"/>
    </font>
    <font>
      <b val="1"/>
      <color rgb="002C5282"/>
      <sz val="10"/>
    </font>
    <font>
      <b val="1"/>
      <color rgb="002C5282"/>
    </font>
    <font>
      <b val="1"/>
    </font>
  </fonts>
  <fills count="6">
    <fill>
      <patternFill/>
    </fill>
    <fill>
      <patternFill patternType="gray125"/>
    </fill>
    <fill>
      <patternFill patternType="solid">
        <fgColor rgb="002C5282"/>
      </patternFill>
    </fill>
    <fill>
      <patternFill patternType="solid">
        <fgColor rgb="00EDF2F7"/>
      </patternFill>
    </fill>
    <fill>
      <patternFill patternType="solid">
        <fgColor rgb="00FFFAF0"/>
      </patternFill>
    </fill>
    <fill>
      <patternFill patternType="solid">
        <fgColor rgb="00E6FFF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6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📋 DivisionX Card · Go-Live Template (1 พ.ค. 2026)</t>
        </is>
      </c>
    </row>
    <row r="2">
      <c r="A2" s="2" t="inlineStr"/>
    </row>
    <row r="3">
      <c r="A3" s="3" t="inlineStr">
        <is>
          <t>Flow ใหม่ — เริ่มเติมตู้ก่อน · ระบบดึงสต็อกตู้จาก VMS อัตโนมัติ</t>
        </is>
      </c>
    </row>
    <row r="4">
      <c r="A4" s="2" t="inlineStr">
        <is>
          <t>1) แอดมินเติมของจริงในตู้ทุกตู้ให้เต็ม (เช้า ~07:00-08:30)</t>
        </is>
      </c>
    </row>
    <row r="5">
      <c r="A5" s="2" t="inlineStr">
        <is>
          <t>2) ทีมเทคกด 'ดึงข้อมูล VMS' บนเว็บ → รอ ~1 นาที</t>
        </is>
      </c>
    </row>
    <row r="6">
      <c r="A6" s="2" t="inlineStr">
        <is>
          <t>3) ตรวจหน้า 'สต็อกหน้าตู้' ว่าระบบเห็นตรงกับ VMS</t>
        </is>
      </c>
    </row>
    <row r="7">
      <c r="A7" s="2" t="inlineStr">
        <is>
          <t>4) แอดมินนับสต็อกที่เหลือในมือ (User_Stock) + นับ Main → กรอกใน Excel นี้</t>
        </is>
      </c>
    </row>
    <row r="8">
      <c r="A8" s="2" t="inlineStr">
        <is>
          <t>5) Save → ส่งไฟล์ให้ทีมเทค → reset + seed → go-live</t>
        </is>
      </c>
    </row>
    <row r="9">
      <c r="A9" s="2" t="inlineStr"/>
    </row>
    <row r="10">
      <c r="A10" s="3" t="inlineStr">
        <is>
          <t>วิธีกรอก Sheet 'Main_Stock'</t>
        </is>
      </c>
    </row>
    <row r="11">
      <c r="A11" s="4" t="inlineStr">
        <is>
          <t>• Main เก็บเฉพาะ Cotton + Box · ไม่มีซองเศษ (เศษซองทั้งหมดอยู่ที่ User)</t>
        </is>
      </c>
    </row>
    <row r="12">
      <c r="A12" s="2" t="inlineStr">
        <is>
          <t>• full_cottons = ลังใหญ่ครบ (1 cotton = 12 box · OP/EB = 144 packs · PRB = 120 packs)</t>
        </is>
      </c>
    </row>
    <row r="13">
      <c r="A13" s="2" t="inlineStr">
        <is>
          <t>• full_boxes = กล่องครบที่ไม่ได้อยู่ในลัง</t>
        </is>
      </c>
    </row>
    <row r="14">
      <c r="A14" s="2" t="inlineStr">
        <is>
          <t>• total_packs = ระบบคำนวณให้อัตโนมัติ</t>
        </is>
      </c>
    </row>
    <row r="15">
      <c r="A15" s="2" t="inlineStr">
        <is>
          <t>• unit_cost_per_pack = ราคาทุน/ซอง (ใบเสร็จล่าสุด)</t>
        </is>
      </c>
    </row>
    <row r="16">
      <c r="A16" s="4" t="inlineStr">
        <is>
          <t>• ถ้าไม่มี SKU ไหนเลย ใส่ 0 ทุกช่อง</t>
        </is>
      </c>
    </row>
    <row r="17">
      <c r="A17" s="2" t="inlineStr"/>
    </row>
    <row r="18">
      <c r="A18" s="3" t="inlineStr">
        <is>
          <t>วิธีกรอก Sheet 'User_Stock'</t>
        </is>
      </c>
    </row>
    <row r="19">
      <c r="A19" s="2" t="inlineStr">
        <is>
          <t>• User เก็บได้ทั้ง Cotton/Box/Pack · กรอกแยกหน่วย</t>
        </is>
      </c>
    </row>
    <row r="20">
      <c r="A20" s="2" t="inlineStr">
        <is>
          <t>• username ต้องตรงกับ User Reference ด้านล่างของ sheet</t>
        </is>
      </c>
    </row>
    <row r="21">
      <c r="A21" s="2" t="inlineStr">
        <is>
          <t>• 1 row = 1 ผู้ใช้ × 1 SKU (เพิ่ม row ตามต้องการ)</t>
        </is>
      </c>
    </row>
    <row r="22">
      <c r="A22" s="2" t="inlineStr">
        <is>
          <t>• full_cottons + full_boxes + loose_packs = ของที่ผู้ใช้คนนั้น 'เหลือในมือ' หลังเติมตู้</t>
        </is>
      </c>
    </row>
    <row r="23">
      <c r="A23" s="2" t="inlineStr">
        <is>
          <t>• total_packs = ระบบคำนวณให้อัตโนมัติ (VLOOKUP packs_per_box จาก SKU Reference)</t>
        </is>
      </c>
    </row>
    <row r="24">
      <c r="A24" s="4" t="inlineStr">
        <is>
          <t>• ถ้าผู้ใช้ไม่มี SKU ใดเลย ข้ามได้</t>
        </is>
      </c>
    </row>
    <row r="25">
      <c r="A25" s="2" t="inlineStr"/>
    </row>
    <row r="26">
      <c r="A26" s="3" t="inlineStr">
        <is>
          <t>วิธีกรอก Sheet 'User_Stock'</t>
        </is>
      </c>
    </row>
    <row r="27">
      <c r="A27" s="2" t="inlineStr">
        <is>
          <t>• User เก็บได้ทั้ง Cotton/Box/Pack · นับรวมเป็น 'ซอง' ทั้งหมด</t>
        </is>
      </c>
    </row>
    <row r="28">
      <c r="A28" s="2" t="inlineStr">
        <is>
          <t>• ใส่จำนวน 'ซองรวม' ที่ผู้ใช้ถือเหลือในมือ (หลังเติมตู้แล้ว)</t>
        </is>
      </c>
    </row>
    <row r="29">
      <c r="A29" s="2" t="inlineStr"/>
    </row>
    <row r="30">
      <c r="A30" s="3" t="inlineStr">
        <is>
          <t>ห้ามแก้</t>
        </is>
      </c>
    </row>
    <row r="31">
      <c r="A31" s="2" t="inlineStr">
        <is>
          <t>• Sheet README นี้</t>
        </is>
      </c>
    </row>
    <row r="32">
      <c r="A32" s="2" t="inlineStr">
        <is>
          <t>• Column A-D ใน Main_Stock (sku_id / series / packs_per_box / packs_per_cotton)</t>
        </is>
      </c>
    </row>
    <row r="33">
      <c r="A33" s="2" t="inlineStr">
        <is>
          <t>• User Reference ด้านล่าง User_Stock</t>
        </is>
      </c>
    </row>
    <row r="34">
      <c r="A34" s="2" t="inlineStr"/>
    </row>
    <row r="35">
      <c r="A35" s="3" t="inlineStr">
        <is>
          <t>คำถาม</t>
        </is>
      </c>
    </row>
    <row r="36">
      <c r="A36" s="2" t="inlineStr">
        <is>
          <t>ถ้าไม่แน่ใจ → ทักเจ้าของระบบ (อย่าเดา) · ตัวเลขผิดยอดสต็อกพังหมดเดือน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6" customWidth="1" min="4" max="4"/>
    <col width="13" customWidth="1" min="5" max="5"/>
    <col width="12" customWidth="1" min="6" max="6"/>
    <col width="17" customWidth="1" min="7" max="7"/>
    <col width="18" customWidth="1" min="8" max="8"/>
    <col width="28" customWidth="1" min="9" max="9"/>
  </cols>
  <sheetData>
    <row r="1">
      <c r="A1" s="3" t="inlineStr">
        <is>
          <t>📦 สต็อกใน Main (คลังหลัก) ณ เช้าวันที่ 1 พ.ค. 2026</t>
        </is>
      </c>
    </row>
    <row r="2">
      <c r="A2" s="4" t="inlineStr">
        <is>
          <t>Main เก็บเฉพาะ Cotton + Box · ไม่มีซองเศษ (เศษอยู่ที่ User) · กรอก full_cottons (ลังใหญ่) + full_boxes (กล่อง) + unit_cost_per_pack (ราคาใบเสร็จล่าสุด)</t>
        </is>
      </c>
    </row>
    <row r="3">
      <c r="A3" s="5" t="inlineStr">
        <is>
          <t>sku_id</t>
        </is>
      </c>
      <c r="B3" s="5" t="inlineStr">
        <is>
          <t>series</t>
        </is>
      </c>
      <c r="C3" s="5" t="inlineStr">
        <is>
          <t>packs_per_box</t>
        </is>
      </c>
      <c r="D3" s="5" t="inlineStr">
        <is>
          <t>packs_per_cotton</t>
        </is>
      </c>
      <c r="E3" s="5" t="inlineStr">
        <is>
          <t>full_cottons</t>
        </is>
      </c>
      <c r="F3" s="5" t="inlineStr">
        <is>
          <t>full_boxes</t>
        </is>
      </c>
      <c r="G3" s="5" t="inlineStr">
        <is>
          <t>total_packs (auto)</t>
        </is>
      </c>
      <c r="H3" s="5" t="inlineStr">
        <is>
          <t>unit_cost_per_pack</t>
        </is>
      </c>
      <c r="I3" s="5" t="inlineStr">
        <is>
          <t>note</t>
        </is>
      </c>
    </row>
    <row r="4">
      <c r="A4" s="6" t="inlineStr">
        <is>
          <t>OP 01</t>
        </is>
      </c>
      <c r="B4" s="6" t="inlineStr">
        <is>
          <t>OP</t>
        </is>
      </c>
      <c r="C4" s="6" t="n">
        <v>12</v>
      </c>
      <c r="D4" s="6" t="n">
        <v>144</v>
      </c>
      <c r="E4" s="7" t="n">
        <v>0</v>
      </c>
      <c r="F4" s="7" t="n">
        <v>0</v>
      </c>
      <c r="G4" s="8">
        <f>E4*D4+F4*C4</f>
        <v/>
      </c>
      <c r="H4" s="7" t="n">
        <v>0</v>
      </c>
      <c r="I4" s="9" t="inlineStr"/>
    </row>
    <row r="5">
      <c r="A5" s="6" t="inlineStr">
        <is>
          <t>OP 02</t>
        </is>
      </c>
      <c r="B5" s="6" t="inlineStr">
        <is>
          <t>OP</t>
        </is>
      </c>
      <c r="C5" s="6" t="n">
        <v>12</v>
      </c>
      <c r="D5" s="6" t="n">
        <v>144</v>
      </c>
      <c r="E5" s="7" t="n">
        <v>0</v>
      </c>
      <c r="F5" s="7" t="n">
        <v>0</v>
      </c>
      <c r="G5" s="8">
        <f>E5*D5+F5*C5</f>
        <v/>
      </c>
      <c r="H5" s="7" t="n">
        <v>0</v>
      </c>
      <c r="I5" s="9" t="inlineStr"/>
    </row>
    <row r="6">
      <c r="A6" s="6" t="inlineStr">
        <is>
          <t>OP 03</t>
        </is>
      </c>
      <c r="B6" s="6" t="inlineStr">
        <is>
          <t>OP</t>
        </is>
      </c>
      <c r="C6" s="6" t="n">
        <v>12</v>
      </c>
      <c r="D6" s="6" t="n">
        <v>144</v>
      </c>
      <c r="E6" s="7" t="n">
        <v>0</v>
      </c>
      <c r="F6" s="7" t="n">
        <v>0</v>
      </c>
      <c r="G6" s="8">
        <f>E6*D6+F6*C6</f>
        <v/>
      </c>
      <c r="H6" s="7" t="n">
        <v>0</v>
      </c>
      <c r="I6" s="9" t="inlineStr"/>
    </row>
    <row r="7">
      <c r="A7" s="6" t="inlineStr">
        <is>
          <t>OP 04</t>
        </is>
      </c>
      <c r="B7" s="6" t="inlineStr">
        <is>
          <t>OP</t>
        </is>
      </c>
      <c r="C7" s="6" t="n">
        <v>12</v>
      </c>
      <c r="D7" s="6" t="n">
        <v>144</v>
      </c>
      <c r="E7" s="7" t="n">
        <v>0</v>
      </c>
      <c r="F7" s="7" t="n">
        <v>0</v>
      </c>
      <c r="G7" s="8">
        <f>E7*D7+F7*C7</f>
        <v/>
      </c>
      <c r="H7" s="7" t="n">
        <v>0</v>
      </c>
      <c r="I7" s="9" t="inlineStr"/>
    </row>
    <row r="8">
      <c r="A8" s="6" t="inlineStr">
        <is>
          <t>OP 05</t>
        </is>
      </c>
      <c r="B8" s="6" t="inlineStr">
        <is>
          <t>OP</t>
        </is>
      </c>
      <c r="C8" s="6" t="n">
        <v>12</v>
      </c>
      <c r="D8" s="6" t="n">
        <v>144</v>
      </c>
      <c r="E8" s="7" t="n">
        <v>0</v>
      </c>
      <c r="F8" s="7" t="n">
        <v>0</v>
      </c>
      <c r="G8" s="8">
        <f>E8*D8+F8*C8</f>
        <v/>
      </c>
      <c r="H8" s="7" t="n">
        <v>0</v>
      </c>
      <c r="I8" s="9" t="inlineStr"/>
    </row>
    <row r="9">
      <c r="A9" s="6" t="inlineStr">
        <is>
          <t>OP 06</t>
        </is>
      </c>
      <c r="B9" s="6" t="inlineStr">
        <is>
          <t>OP</t>
        </is>
      </c>
      <c r="C9" s="6" t="n">
        <v>12</v>
      </c>
      <c r="D9" s="6" t="n">
        <v>144</v>
      </c>
      <c r="E9" s="7" t="n">
        <v>0</v>
      </c>
      <c r="F9" s="7" t="n">
        <v>0</v>
      </c>
      <c r="G9" s="8">
        <f>E9*D9+F9*C9</f>
        <v/>
      </c>
      <c r="H9" s="7" t="n">
        <v>0</v>
      </c>
      <c r="I9" s="9" t="inlineStr"/>
    </row>
    <row r="10">
      <c r="A10" s="6" t="inlineStr">
        <is>
          <t>OP 07</t>
        </is>
      </c>
      <c r="B10" s="6" t="inlineStr">
        <is>
          <t>OP</t>
        </is>
      </c>
      <c r="C10" s="6" t="n">
        <v>12</v>
      </c>
      <c r="D10" s="6" t="n">
        <v>144</v>
      </c>
      <c r="E10" s="7" t="n">
        <v>0</v>
      </c>
      <c r="F10" s="7" t="n">
        <v>0</v>
      </c>
      <c r="G10" s="8">
        <f>E10*D10+F10*C10</f>
        <v/>
      </c>
      <c r="H10" s="7" t="n">
        <v>0</v>
      </c>
      <c r="I10" s="9" t="inlineStr"/>
    </row>
    <row r="11">
      <c r="A11" s="6" t="inlineStr">
        <is>
          <t>OP 08</t>
        </is>
      </c>
      <c r="B11" s="6" t="inlineStr">
        <is>
          <t>OP</t>
        </is>
      </c>
      <c r="C11" s="6" t="n">
        <v>12</v>
      </c>
      <c r="D11" s="6" t="n">
        <v>144</v>
      </c>
      <c r="E11" s="7" t="n">
        <v>0</v>
      </c>
      <c r="F11" s="7" t="n">
        <v>0</v>
      </c>
      <c r="G11" s="8">
        <f>E11*D11+F11*C11</f>
        <v/>
      </c>
      <c r="H11" s="7" t="n">
        <v>0</v>
      </c>
      <c r="I11" s="9" t="inlineStr"/>
    </row>
    <row r="12">
      <c r="A12" s="6" t="inlineStr">
        <is>
          <t>OP 09</t>
        </is>
      </c>
      <c r="B12" s="6" t="inlineStr">
        <is>
          <t>OP</t>
        </is>
      </c>
      <c r="C12" s="6" t="n">
        <v>12</v>
      </c>
      <c r="D12" s="6" t="n">
        <v>144</v>
      </c>
      <c r="E12" s="7" t="n">
        <v>0</v>
      </c>
      <c r="F12" s="7" t="n">
        <v>0</v>
      </c>
      <c r="G12" s="8">
        <f>E12*D12+F12*C12</f>
        <v/>
      </c>
      <c r="H12" s="7" t="n">
        <v>0</v>
      </c>
      <c r="I12" s="9" t="inlineStr"/>
    </row>
    <row r="13">
      <c r="A13" s="6" t="inlineStr">
        <is>
          <t>OP 10</t>
        </is>
      </c>
      <c r="B13" s="6" t="inlineStr">
        <is>
          <t>OP</t>
        </is>
      </c>
      <c r="C13" s="6" t="n">
        <v>12</v>
      </c>
      <c r="D13" s="6" t="n">
        <v>144</v>
      </c>
      <c r="E13" s="7" t="n">
        <v>0</v>
      </c>
      <c r="F13" s="7" t="n">
        <v>0</v>
      </c>
      <c r="G13" s="8">
        <f>E13*D13+F13*C13</f>
        <v/>
      </c>
      <c r="H13" s="7" t="n">
        <v>0</v>
      </c>
      <c r="I13" s="9" t="inlineStr"/>
    </row>
    <row r="14">
      <c r="A14" s="6" t="inlineStr">
        <is>
          <t>OP 11</t>
        </is>
      </c>
      <c r="B14" s="6" t="inlineStr">
        <is>
          <t>OP</t>
        </is>
      </c>
      <c r="C14" s="6" t="n">
        <v>12</v>
      </c>
      <c r="D14" s="6" t="n">
        <v>144</v>
      </c>
      <c r="E14" s="7" t="n">
        <v>0</v>
      </c>
      <c r="F14" s="7" t="n">
        <v>0</v>
      </c>
      <c r="G14" s="8">
        <f>E14*D14+F14*C14</f>
        <v/>
      </c>
      <c r="H14" s="7" t="n">
        <v>0</v>
      </c>
      <c r="I14" s="9" t="inlineStr"/>
    </row>
    <row r="15">
      <c r="A15" s="6" t="inlineStr">
        <is>
          <t>OP 12</t>
        </is>
      </c>
      <c r="B15" s="6" t="inlineStr">
        <is>
          <t>OP</t>
        </is>
      </c>
      <c r="C15" s="6" t="n">
        <v>12</v>
      </c>
      <c r="D15" s="6" t="n">
        <v>144</v>
      </c>
      <c r="E15" s="7" t="n">
        <v>0</v>
      </c>
      <c r="F15" s="7" t="n">
        <v>0</v>
      </c>
      <c r="G15" s="8">
        <f>E15*D15+F15*C15</f>
        <v/>
      </c>
      <c r="H15" s="7" t="n">
        <v>0</v>
      </c>
      <c r="I15" s="9" t="inlineStr"/>
    </row>
    <row r="16">
      <c r="A16" s="6" t="inlineStr">
        <is>
          <t>OP 13</t>
        </is>
      </c>
      <c r="B16" s="6" t="inlineStr">
        <is>
          <t>OP</t>
        </is>
      </c>
      <c r="C16" s="6" t="n">
        <v>12</v>
      </c>
      <c r="D16" s="6" t="n">
        <v>144</v>
      </c>
      <c r="E16" s="7" t="n">
        <v>0</v>
      </c>
      <c r="F16" s="7" t="n">
        <v>0</v>
      </c>
      <c r="G16" s="8">
        <f>E16*D16+F16*C16</f>
        <v/>
      </c>
      <c r="H16" s="7" t="n">
        <v>0</v>
      </c>
      <c r="I16" s="9" t="inlineStr"/>
    </row>
    <row r="17">
      <c r="A17" s="6" t="inlineStr">
        <is>
          <t>OP 14</t>
        </is>
      </c>
      <c r="B17" s="6" t="inlineStr">
        <is>
          <t>OP</t>
        </is>
      </c>
      <c r="C17" s="6" t="n">
        <v>12</v>
      </c>
      <c r="D17" s="6" t="n">
        <v>144</v>
      </c>
      <c r="E17" s="7" t="n">
        <v>0</v>
      </c>
      <c r="F17" s="7" t="n">
        <v>0</v>
      </c>
      <c r="G17" s="8">
        <f>E17*D17+F17*C17</f>
        <v/>
      </c>
      <c r="H17" s="7" t="n">
        <v>0</v>
      </c>
      <c r="I17" s="9" t="inlineStr"/>
    </row>
    <row r="18">
      <c r="A18" s="6" t="inlineStr">
        <is>
          <t>OP 15</t>
        </is>
      </c>
      <c r="B18" s="6" t="inlineStr">
        <is>
          <t>OP</t>
        </is>
      </c>
      <c r="C18" s="6" t="n">
        <v>12</v>
      </c>
      <c r="D18" s="6" t="n">
        <v>144</v>
      </c>
      <c r="E18" s="7" t="n">
        <v>0</v>
      </c>
      <c r="F18" s="7" t="n">
        <v>0</v>
      </c>
      <c r="G18" s="8">
        <f>E18*D18+F18*C18</f>
        <v/>
      </c>
      <c r="H18" s="7" t="n">
        <v>0</v>
      </c>
      <c r="I18" s="9" t="inlineStr"/>
    </row>
    <row r="19">
      <c r="A19" s="6" t="inlineStr">
        <is>
          <t>EB 01</t>
        </is>
      </c>
      <c r="B19" s="6" t="inlineStr">
        <is>
          <t>EB</t>
        </is>
      </c>
      <c r="C19" s="6" t="n">
        <v>12</v>
      </c>
      <c r="D19" s="6" t="n">
        <v>144</v>
      </c>
      <c r="E19" s="7" t="n">
        <v>0</v>
      </c>
      <c r="F19" s="7" t="n">
        <v>0</v>
      </c>
      <c r="G19" s="8">
        <f>E19*D19+F19*C19</f>
        <v/>
      </c>
      <c r="H19" s="7" t="n">
        <v>0</v>
      </c>
      <c r="I19" s="9" t="inlineStr"/>
    </row>
    <row r="20">
      <c r="A20" s="6" t="inlineStr">
        <is>
          <t>EB 02</t>
        </is>
      </c>
      <c r="B20" s="6" t="inlineStr">
        <is>
          <t>EB</t>
        </is>
      </c>
      <c r="C20" s="6" t="n">
        <v>12</v>
      </c>
      <c r="D20" s="6" t="n">
        <v>144</v>
      </c>
      <c r="E20" s="7" t="n">
        <v>0</v>
      </c>
      <c r="F20" s="7" t="n">
        <v>0</v>
      </c>
      <c r="G20" s="8">
        <f>E20*D20+F20*C20</f>
        <v/>
      </c>
      <c r="H20" s="7" t="n">
        <v>0</v>
      </c>
      <c r="I20" s="9" t="inlineStr"/>
    </row>
    <row r="21">
      <c r="A21" s="6" t="inlineStr">
        <is>
          <t>EB 03</t>
        </is>
      </c>
      <c r="B21" s="6" t="inlineStr">
        <is>
          <t>EB</t>
        </is>
      </c>
      <c r="C21" s="6" t="n">
        <v>12</v>
      </c>
      <c r="D21" s="6" t="n">
        <v>144</v>
      </c>
      <c r="E21" s="7" t="n">
        <v>0</v>
      </c>
      <c r="F21" s="7" t="n">
        <v>0</v>
      </c>
      <c r="G21" s="8">
        <f>E21*D21+F21*C21</f>
        <v/>
      </c>
      <c r="H21" s="7" t="n">
        <v>0</v>
      </c>
      <c r="I21" s="9" t="inlineStr"/>
    </row>
    <row r="22">
      <c r="A22" s="6" t="inlineStr">
        <is>
          <t>EB 04</t>
        </is>
      </c>
      <c r="B22" s="6" t="inlineStr">
        <is>
          <t>EB</t>
        </is>
      </c>
      <c r="C22" s="6" t="n">
        <v>12</v>
      </c>
      <c r="D22" s="6" t="n">
        <v>144</v>
      </c>
      <c r="E22" s="7" t="n">
        <v>0</v>
      </c>
      <c r="F22" s="7" t="n">
        <v>0</v>
      </c>
      <c r="G22" s="8">
        <f>E22*D22+F22*C22</f>
        <v/>
      </c>
      <c r="H22" s="7" t="n">
        <v>0</v>
      </c>
      <c r="I22" s="9" t="inlineStr"/>
    </row>
    <row r="23">
      <c r="A23" s="6" t="inlineStr">
        <is>
          <t>PRB 01</t>
        </is>
      </c>
      <c r="B23" s="6" t="inlineStr">
        <is>
          <t>PRB</t>
        </is>
      </c>
      <c r="C23" s="6" t="n">
        <v>10</v>
      </c>
      <c r="D23" s="6" t="n">
        <v>120</v>
      </c>
      <c r="E23" s="7" t="n">
        <v>0</v>
      </c>
      <c r="F23" s="7" t="n">
        <v>0</v>
      </c>
      <c r="G23" s="8">
        <f>E23*D23+F23*C23</f>
        <v/>
      </c>
      <c r="H23" s="7" t="n">
        <v>0</v>
      </c>
      <c r="I23" s="9" t="inlineStr"/>
    </row>
    <row r="24">
      <c r="A24" s="6" t="inlineStr">
        <is>
          <t>PRB 02</t>
        </is>
      </c>
      <c r="B24" s="6" t="inlineStr">
        <is>
          <t>PRB</t>
        </is>
      </c>
      <c r="C24" s="6" t="n">
        <v>10</v>
      </c>
      <c r="D24" s="6" t="n">
        <v>120</v>
      </c>
      <c r="E24" s="7" t="n">
        <v>0</v>
      </c>
      <c r="F24" s="7" t="n">
        <v>0</v>
      </c>
      <c r="G24" s="8">
        <f>E24*D24+F24*C24</f>
        <v/>
      </c>
      <c r="H24" s="7" t="n">
        <v>0</v>
      </c>
      <c r="I24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3" customWidth="1" min="5" max="5"/>
    <col width="17" customWidth="1" min="6" max="6"/>
    <col width="28" customWidth="1" min="7" max="7"/>
    <col width="10" customWidth="1" min="10" max="10"/>
    <col width="8" customWidth="1" min="11" max="11"/>
  </cols>
  <sheetData>
    <row r="1">
      <c r="A1" s="10" t="inlineStr">
        <is>
          <t>👤 สต็อกที่แอดมินแต่ละคนถือเหลือ (หลังเติมตู้แล้ว) · ณ เช้า 1 พ.ค. 2026</t>
        </is>
      </c>
    </row>
    <row r="2">
      <c r="A2" s="11" t="inlineStr">
        <is>
          <t>เพิ่ม 1 row ต่อ (ผู้ใช้, SKU) · กรอก full_cottons + full_boxes + loose_packs · ระบบคำนวณ total_packs ให้เอง (ดู SKU Reference ด้านล่างเพื่อเทียบขนาด)</t>
        </is>
      </c>
    </row>
    <row r="4">
      <c r="A4" s="5" t="inlineStr">
        <is>
          <t>username</t>
        </is>
      </c>
      <c r="B4" s="5" t="inlineStr">
        <is>
          <t>sku_id</t>
        </is>
      </c>
      <c r="C4" s="5" t="inlineStr">
        <is>
          <t>full_cottons</t>
        </is>
      </c>
      <c r="D4" s="5" t="inlineStr">
        <is>
          <t>full_boxes</t>
        </is>
      </c>
      <c r="E4" s="5" t="inlineStr">
        <is>
          <t>loose_packs</t>
        </is>
      </c>
      <c r="F4" s="5" t="inlineStr">
        <is>
          <t>total_packs (auto)</t>
        </is>
      </c>
      <c r="G4" s="5" t="inlineStr">
        <is>
          <t>note</t>
        </is>
      </c>
      <c r="J4" s="12" t="inlineStr">
        <is>
          <t>🎴 SKU Reference (อ้างอิง)</t>
        </is>
      </c>
    </row>
    <row r="5">
      <c r="A5" s="13" t="n"/>
      <c r="B5" s="13" t="n"/>
      <c r="C5" s="13" t="n"/>
      <c r="D5" s="13" t="n"/>
      <c r="E5" s="13" t="n"/>
      <c r="F5" s="14">
        <f>IF(B5="","",C5*IFERROR(VLOOKUP(B5,$J$5:$K$25,2,FALSE),0)*12+D5*IFERROR(VLOOKUP(B5,$J$5:$K$25,2,FALSE),0)+E5)</f>
        <v/>
      </c>
      <c r="G5" s="13" t="n"/>
      <c r="J5" s="15" t="inlineStr">
        <is>
          <t>OP 01</t>
        </is>
      </c>
      <c r="K5" s="15" t="n">
        <v>12</v>
      </c>
    </row>
    <row r="6">
      <c r="A6" s="13" t="n"/>
      <c r="B6" s="13" t="n"/>
      <c r="C6" s="13" t="n"/>
      <c r="D6" s="13" t="n"/>
      <c r="E6" s="13" t="n"/>
      <c r="F6" s="14">
        <f>IF(B6="","",C6*IFERROR(VLOOKUP(B6,$J$5:$K$25,2,FALSE),0)*12+D6*IFERROR(VLOOKUP(B6,$J$5:$K$25,2,FALSE),0)+E6)</f>
        <v/>
      </c>
      <c r="G6" s="13" t="n"/>
      <c r="J6" s="15" t="inlineStr">
        <is>
          <t>OP 02</t>
        </is>
      </c>
      <c r="K6" s="15" t="n">
        <v>12</v>
      </c>
    </row>
    <row r="7">
      <c r="A7" s="13" t="n"/>
      <c r="B7" s="13" t="n"/>
      <c r="C7" s="13" t="n"/>
      <c r="D7" s="13" t="n"/>
      <c r="E7" s="13" t="n"/>
      <c r="F7" s="14">
        <f>IF(B7="","",C7*IFERROR(VLOOKUP(B7,$J$5:$K$25,2,FALSE),0)*12+D7*IFERROR(VLOOKUP(B7,$J$5:$K$25,2,FALSE),0)+E7)</f>
        <v/>
      </c>
      <c r="G7" s="13" t="n"/>
      <c r="J7" s="15" t="inlineStr">
        <is>
          <t>OP 03</t>
        </is>
      </c>
      <c r="K7" s="15" t="n">
        <v>12</v>
      </c>
    </row>
    <row r="8">
      <c r="A8" s="13" t="n"/>
      <c r="B8" s="13" t="n"/>
      <c r="C8" s="13" t="n"/>
      <c r="D8" s="13" t="n"/>
      <c r="E8" s="13" t="n"/>
      <c r="F8" s="14">
        <f>IF(B8="","",C8*IFERROR(VLOOKUP(B8,$J$5:$K$25,2,FALSE),0)*12+D8*IFERROR(VLOOKUP(B8,$J$5:$K$25,2,FALSE),0)+E8)</f>
        <v/>
      </c>
      <c r="G8" s="13" t="n"/>
      <c r="J8" s="15" t="inlineStr">
        <is>
          <t>OP 04</t>
        </is>
      </c>
      <c r="K8" s="15" t="n">
        <v>12</v>
      </c>
    </row>
    <row r="9">
      <c r="A9" s="13" t="n"/>
      <c r="B9" s="13" t="n"/>
      <c r="C9" s="13" t="n"/>
      <c r="D9" s="13" t="n"/>
      <c r="E9" s="13" t="n"/>
      <c r="F9" s="14">
        <f>IF(B9="","",C9*IFERROR(VLOOKUP(B9,$J$5:$K$25,2,FALSE),0)*12+D9*IFERROR(VLOOKUP(B9,$J$5:$K$25,2,FALSE),0)+E9)</f>
        <v/>
      </c>
      <c r="G9" s="13" t="n"/>
      <c r="J9" s="15" t="inlineStr">
        <is>
          <t>OP 05</t>
        </is>
      </c>
      <c r="K9" s="15" t="n">
        <v>12</v>
      </c>
    </row>
    <row r="10">
      <c r="A10" s="13" t="n"/>
      <c r="B10" s="13" t="n"/>
      <c r="C10" s="13" t="n"/>
      <c r="D10" s="13" t="n"/>
      <c r="E10" s="13" t="n"/>
      <c r="F10" s="14">
        <f>IF(B10="","",C10*IFERROR(VLOOKUP(B10,$J$5:$K$25,2,FALSE),0)*12+D10*IFERROR(VLOOKUP(B10,$J$5:$K$25,2,FALSE),0)+E10)</f>
        <v/>
      </c>
      <c r="G10" s="13" t="n"/>
      <c r="J10" s="15" t="inlineStr">
        <is>
          <t>OP 06</t>
        </is>
      </c>
      <c r="K10" s="15" t="n">
        <v>12</v>
      </c>
    </row>
    <row r="11">
      <c r="A11" s="13" t="n"/>
      <c r="B11" s="13" t="n"/>
      <c r="C11" s="13" t="n"/>
      <c r="D11" s="13" t="n"/>
      <c r="E11" s="13" t="n"/>
      <c r="F11" s="14">
        <f>IF(B11="","",C11*IFERROR(VLOOKUP(B11,$J$5:$K$25,2,FALSE),0)*12+D11*IFERROR(VLOOKUP(B11,$J$5:$K$25,2,FALSE),0)+E11)</f>
        <v/>
      </c>
      <c r="G11" s="13" t="n"/>
      <c r="J11" s="15" t="inlineStr">
        <is>
          <t>OP 07</t>
        </is>
      </c>
      <c r="K11" s="15" t="n">
        <v>12</v>
      </c>
    </row>
    <row r="12">
      <c r="A12" s="13" t="n"/>
      <c r="B12" s="13" t="n"/>
      <c r="C12" s="13" t="n"/>
      <c r="D12" s="13" t="n"/>
      <c r="E12" s="13" t="n"/>
      <c r="F12" s="14">
        <f>IF(B12="","",C12*IFERROR(VLOOKUP(B12,$J$5:$K$25,2,FALSE),0)*12+D12*IFERROR(VLOOKUP(B12,$J$5:$K$25,2,FALSE),0)+E12)</f>
        <v/>
      </c>
      <c r="G12" s="13" t="n"/>
      <c r="J12" s="15" t="inlineStr">
        <is>
          <t>OP 08</t>
        </is>
      </c>
      <c r="K12" s="15" t="n">
        <v>12</v>
      </c>
    </row>
    <row r="13">
      <c r="A13" s="13" t="n"/>
      <c r="B13" s="13" t="n"/>
      <c r="C13" s="13" t="n"/>
      <c r="D13" s="13" t="n"/>
      <c r="E13" s="13" t="n"/>
      <c r="F13" s="14">
        <f>IF(B13="","",C13*IFERROR(VLOOKUP(B13,$J$5:$K$25,2,FALSE),0)*12+D13*IFERROR(VLOOKUP(B13,$J$5:$K$25,2,FALSE),0)+E13)</f>
        <v/>
      </c>
      <c r="G13" s="13" t="n"/>
      <c r="J13" s="15" t="inlineStr">
        <is>
          <t>OP 09</t>
        </is>
      </c>
      <c r="K13" s="15" t="n">
        <v>12</v>
      </c>
    </row>
    <row r="14">
      <c r="A14" s="13" t="n"/>
      <c r="B14" s="13" t="n"/>
      <c r="C14" s="13" t="n"/>
      <c r="D14" s="13" t="n"/>
      <c r="E14" s="13" t="n"/>
      <c r="F14" s="14">
        <f>IF(B14="","",C14*IFERROR(VLOOKUP(B14,$J$5:$K$25,2,FALSE),0)*12+D14*IFERROR(VLOOKUP(B14,$J$5:$K$25,2,FALSE),0)+E14)</f>
        <v/>
      </c>
      <c r="G14" s="13" t="n"/>
      <c r="J14" s="15" t="inlineStr">
        <is>
          <t>OP 10</t>
        </is>
      </c>
      <c r="K14" s="15" t="n">
        <v>12</v>
      </c>
    </row>
    <row r="15">
      <c r="A15" s="13" t="n"/>
      <c r="B15" s="13" t="n"/>
      <c r="C15" s="13" t="n"/>
      <c r="D15" s="13" t="n"/>
      <c r="E15" s="13" t="n"/>
      <c r="F15" s="14">
        <f>IF(B15="","",C15*IFERROR(VLOOKUP(B15,$J$5:$K$25,2,FALSE),0)*12+D15*IFERROR(VLOOKUP(B15,$J$5:$K$25,2,FALSE),0)+E15)</f>
        <v/>
      </c>
      <c r="G15" s="13" t="n"/>
      <c r="J15" s="15" t="inlineStr">
        <is>
          <t>OP 11</t>
        </is>
      </c>
      <c r="K15" s="15" t="n">
        <v>12</v>
      </c>
    </row>
    <row r="16">
      <c r="A16" s="13" t="n"/>
      <c r="B16" s="13" t="n"/>
      <c r="C16" s="13" t="n"/>
      <c r="D16" s="13" t="n"/>
      <c r="E16" s="13" t="n"/>
      <c r="F16" s="14">
        <f>IF(B16="","",C16*IFERROR(VLOOKUP(B16,$J$5:$K$25,2,FALSE),0)*12+D16*IFERROR(VLOOKUP(B16,$J$5:$K$25,2,FALSE),0)+E16)</f>
        <v/>
      </c>
      <c r="G16" s="13" t="n"/>
      <c r="J16" s="15" t="inlineStr">
        <is>
          <t>OP 12</t>
        </is>
      </c>
      <c r="K16" s="15" t="n">
        <v>12</v>
      </c>
    </row>
    <row r="17">
      <c r="A17" s="13" t="n"/>
      <c r="B17" s="13" t="n"/>
      <c r="C17" s="13" t="n"/>
      <c r="D17" s="13" t="n"/>
      <c r="E17" s="13" t="n"/>
      <c r="F17" s="14">
        <f>IF(B17="","",C17*IFERROR(VLOOKUP(B17,$J$5:$K$25,2,FALSE),0)*12+D17*IFERROR(VLOOKUP(B17,$J$5:$K$25,2,FALSE),0)+E17)</f>
        <v/>
      </c>
      <c r="G17" s="13" t="n"/>
      <c r="J17" s="15" t="inlineStr">
        <is>
          <t>OP 13</t>
        </is>
      </c>
      <c r="K17" s="15" t="n">
        <v>12</v>
      </c>
    </row>
    <row r="18">
      <c r="A18" s="13" t="n"/>
      <c r="B18" s="13" t="n"/>
      <c r="C18" s="13" t="n"/>
      <c r="D18" s="13" t="n"/>
      <c r="E18" s="13" t="n"/>
      <c r="F18" s="14">
        <f>IF(B18="","",C18*IFERROR(VLOOKUP(B18,$J$5:$K$25,2,FALSE),0)*12+D18*IFERROR(VLOOKUP(B18,$J$5:$K$25,2,FALSE),0)+E18)</f>
        <v/>
      </c>
      <c r="G18" s="13" t="n"/>
      <c r="J18" s="15" t="inlineStr">
        <is>
          <t>OP 14</t>
        </is>
      </c>
      <c r="K18" s="15" t="n">
        <v>12</v>
      </c>
    </row>
    <row r="19">
      <c r="A19" s="13" t="n"/>
      <c r="B19" s="13" t="n"/>
      <c r="C19" s="13" t="n"/>
      <c r="D19" s="13" t="n"/>
      <c r="E19" s="13" t="n"/>
      <c r="F19" s="14">
        <f>IF(B19="","",C19*IFERROR(VLOOKUP(B19,$J$5:$K$25,2,FALSE),0)*12+D19*IFERROR(VLOOKUP(B19,$J$5:$K$25,2,FALSE),0)+E19)</f>
        <v/>
      </c>
      <c r="G19" s="13" t="n"/>
      <c r="J19" s="15" t="inlineStr">
        <is>
          <t>OP 15</t>
        </is>
      </c>
      <c r="K19" s="15" t="n">
        <v>12</v>
      </c>
    </row>
    <row r="20">
      <c r="A20" s="13" t="n"/>
      <c r="B20" s="13" t="n"/>
      <c r="C20" s="13" t="n"/>
      <c r="D20" s="13" t="n"/>
      <c r="E20" s="13" t="n"/>
      <c r="F20" s="14">
        <f>IF(B20="","",C20*IFERROR(VLOOKUP(B20,$J$5:$K$25,2,FALSE),0)*12+D20*IFERROR(VLOOKUP(B20,$J$5:$K$25,2,FALSE),0)+E20)</f>
        <v/>
      </c>
      <c r="G20" s="13" t="n"/>
      <c r="J20" s="15" t="inlineStr">
        <is>
          <t>EB 01</t>
        </is>
      </c>
      <c r="K20" s="15" t="n">
        <v>12</v>
      </c>
    </row>
    <row r="21">
      <c r="A21" s="13" t="n"/>
      <c r="B21" s="13" t="n"/>
      <c r="C21" s="13" t="n"/>
      <c r="D21" s="13" t="n"/>
      <c r="E21" s="13" t="n"/>
      <c r="F21" s="14">
        <f>IF(B21="","",C21*IFERROR(VLOOKUP(B21,$J$5:$K$25,2,FALSE),0)*12+D21*IFERROR(VLOOKUP(B21,$J$5:$K$25,2,FALSE),0)+E21)</f>
        <v/>
      </c>
      <c r="G21" s="13" t="n"/>
      <c r="J21" s="15" t="inlineStr">
        <is>
          <t>EB 02</t>
        </is>
      </c>
      <c r="K21" s="15" t="n">
        <v>12</v>
      </c>
    </row>
    <row r="22">
      <c r="A22" s="13" t="n"/>
      <c r="B22" s="13" t="n"/>
      <c r="C22" s="13" t="n"/>
      <c r="D22" s="13" t="n"/>
      <c r="E22" s="13" t="n"/>
      <c r="F22" s="14">
        <f>IF(B22="","",C22*IFERROR(VLOOKUP(B22,$J$5:$K$25,2,FALSE),0)*12+D22*IFERROR(VLOOKUP(B22,$J$5:$K$25,2,FALSE),0)+E22)</f>
        <v/>
      </c>
      <c r="G22" s="13" t="n"/>
      <c r="J22" s="15" t="inlineStr">
        <is>
          <t>EB 03</t>
        </is>
      </c>
      <c r="K22" s="15" t="n">
        <v>12</v>
      </c>
    </row>
    <row r="23">
      <c r="A23" s="13" t="n"/>
      <c r="B23" s="13" t="n"/>
      <c r="C23" s="13" t="n"/>
      <c r="D23" s="13" t="n"/>
      <c r="E23" s="13" t="n"/>
      <c r="F23" s="14">
        <f>IF(B23="","",C23*IFERROR(VLOOKUP(B23,$J$5:$K$25,2,FALSE),0)*12+D23*IFERROR(VLOOKUP(B23,$J$5:$K$25,2,FALSE),0)+E23)</f>
        <v/>
      </c>
      <c r="G23" s="13" t="n"/>
      <c r="J23" s="15" t="inlineStr">
        <is>
          <t>EB 04</t>
        </is>
      </c>
      <c r="K23" s="15" t="n">
        <v>12</v>
      </c>
    </row>
    <row r="24">
      <c r="A24" s="13" t="n"/>
      <c r="B24" s="13" t="n"/>
      <c r="C24" s="13" t="n"/>
      <c r="D24" s="13" t="n"/>
      <c r="E24" s="13" t="n"/>
      <c r="F24" s="14">
        <f>IF(B24="","",C24*IFERROR(VLOOKUP(B24,$J$5:$K$25,2,FALSE),0)*12+D24*IFERROR(VLOOKUP(B24,$J$5:$K$25,2,FALSE),0)+E24)</f>
        <v/>
      </c>
      <c r="G24" s="13" t="n"/>
      <c r="J24" s="15" t="inlineStr">
        <is>
          <t>PRB 01</t>
        </is>
      </c>
      <c r="K24" s="15" t="n">
        <v>10</v>
      </c>
    </row>
    <row r="25">
      <c r="A25" s="13" t="n"/>
      <c r="B25" s="13" t="n"/>
      <c r="C25" s="13" t="n"/>
      <c r="D25" s="13" t="n"/>
      <c r="E25" s="13" t="n"/>
      <c r="F25" s="14">
        <f>IF(B25="","",C25*IFERROR(VLOOKUP(B25,$J$5:$K$25,2,FALSE),0)*12+D25*IFERROR(VLOOKUP(B25,$J$5:$K$25,2,FALSE),0)+E25)</f>
        <v/>
      </c>
      <c r="G25" s="13" t="n"/>
      <c r="J25" s="15" t="inlineStr">
        <is>
          <t>PRB 02</t>
        </is>
      </c>
      <c r="K25" s="15" t="n">
        <v>10</v>
      </c>
    </row>
    <row r="26">
      <c r="A26" s="13" t="n"/>
      <c r="B26" s="13" t="n"/>
      <c r="C26" s="13" t="n"/>
      <c r="D26" s="13" t="n"/>
      <c r="E26" s="13" t="n"/>
      <c r="F26" s="14">
        <f>IF(B26="","",C26*IFERROR(VLOOKUP(B26,$J$5:$K$25,2,FALSE),0)*12+D26*IFERROR(VLOOKUP(B26,$J$5:$K$25,2,FALSE),0)+E26)</f>
        <v/>
      </c>
      <c r="G26" s="13" t="n"/>
    </row>
    <row r="27">
      <c r="A27" s="13" t="n"/>
      <c r="B27" s="13" t="n"/>
      <c r="C27" s="13" t="n"/>
      <c r="D27" s="13" t="n"/>
      <c r="E27" s="13" t="n"/>
      <c r="F27" s="14">
        <f>IF(B27="","",C27*IFERROR(VLOOKUP(B27,$J$5:$K$25,2,FALSE),0)*12+D27*IFERROR(VLOOKUP(B27,$J$5:$K$25,2,FALSE),0)+E27)</f>
        <v/>
      </c>
      <c r="G27" s="13" t="n"/>
    </row>
    <row r="28">
      <c r="A28" s="13" t="n"/>
      <c r="B28" s="13" t="n"/>
      <c r="C28" s="13" t="n"/>
      <c r="D28" s="13" t="n"/>
      <c r="E28" s="13" t="n"/>
      <c r="F28" s="14">
        <f>IF(B28="","",C28*IFERROR(VLOOKUP(B28,$J$5:$K$25,2,FALSE),0)*12+D28*IFERROR(VLOOKUP(B28,$J$5:$K$25,2,FALSE),0)+E28)</f>
        <v/>
      </c>
      <c r="G28" s="13" t="n"/>
    </row>
    <row r="29">
      <c r="A29" s="13" t="n"/>
      <c r="B29" s="13" t="n"/>
      <c r="C29" s="13" t="n"/>
      <c r="D29" s="13" t="n"/>
      <c r="E29" s="13" t="n"/>
      <c r="F29" s="14">
        <f>IF(B29="","",C29*IFERROR(VLOOKUP(B29,$J$5:$K$25,2,FALSE),0)*12+D29*IFERROR(VLOOKUP(B29,$J$5:$K$25,2,FALSE),0)+E29)</f>
        <v/>
      </c>
      <c r="G29" s="13" t="n"/>
    </row>
    <row r="30">
      <c r="A30" s="13" t="n"/>
      <c r="B30" s="13" t="n"/>
      <c r="C30" s="13" t="n"/>
      <c r="D30" s="13" t="n"/>
      <c r="E30" s="13" t="n"/>
      <c r="F30" s="14">
        <f>IF(B30="","",C30*IFERROR(VLOOKUP(B30,$J$5:$K$25,2,FALSE),0)*12+D30*IFERROR(VLOOKUP(B30,$J$5:$K$25,2,FALSE),0)+E30)</f>
        <v/>
      </c>
      <c r="G30" s="13" t="n"/>
    </row>
    <row r="31">
      <c r="A31" s="13" t="n"/>
      <c r="B31" s="13" t="n"/>
      <c r="C31" s="13" t="n"/>
      <c r="D31" s="13" t="n"/>
      <c r="E31" s="13" t="n"/>
      <c r="F31" s="14">
        <f>IF(B31="","",C31*IFERROR(VLOOKUP(B31,$J$5:$K$25,2,FALSE),0)*12+D31*IFERROR(VLOOKUP(B31,$J$5:$K$25,2,FALSE),0)+E31)</f>
        <v/>
      </c>
      <c r="G31" s="13" t="n"/>
    </row>
    <row r="32">
      <c r="A32" s="13" t="n"/>
      <c r="B32" s="13" t="n"/>
      <c r="C32" s="13" t="n"/>
      <c r="D32" s="13" t="n"/>
      <c r="E32" s="13" t="n"/>
      <c r="F32" s="14">
        <f>IF(B32="","",C32*IFERROR(VLOOKUP(B32,$J$5:$K$25,2,FALSE),0)*12+D32*IFERROR(VLOOKUP(B32,$J$5:$K$25,2,FALSE),0)+E32)</f>
        <v/>
      </c>
      <c r="G32" s="13" t="n"/>
    </row>
    <row r="33">
      <c r="A33" s="13" t="n"/>
      <c r="B33" s="13" t="n"/>
      <c r="C33" s="13" t="n"/>
      <c r="D33" s="13" t="n"/>
      <c r="E33" s="13" t="n"/>
      <c r="F33" s="14">
        <f>IF(B33="","",C33*IFERROR(VLOOKUP(B33,$J$5:$K$25,2,FALSE),0)*12+D33*IFERROR(VLOOKUP(B33,$J$5:$K$25,2,FALSE),0)+E33)</f>
        <v/>
      </c>
      <c r="G33" s="13" t="n"/>
    </row>
    <row r="34">
      <c r="A34" s="13" t="n"/>
      <c r="B34" s="13" t="n"/>
      <c r="C34" s="13" t="n"/>
      <c r="D34" s="13" t="n"/>
      <c r="E34" s="13" t="n"/>
      <c r="F34" s="14">
        <f>IF(B34="","",C34*IFERROR(VLOOKUP(B34,$J$5:$K$25,2,FALSE),0)*12+D34*IFERROR(VLOOKUP(B34,$J$5:$K$25,2,FALSE),0)+E34)</f>
        <v/>
      </c>
      <c r="G34" s="13" t="n"/>
    </row>
    <row r="35">
      <c r="A35" s="13" t="n"/>
      <c r="B35" s="13" t="n"/>
      <c r="C35" s="13" t="n"/>
      <c r="D35" s="13" t="n"/>
      <c r="E35" s="13" t="n"/>
      <c r="F35" s="14">
        <f>IF(B35="","",C35*IFERROR(VLOOKUP(B35,$J$5:$K$25,2,FALSE),0)*12+D35*IFERROR(VLOOKUP(B35,$J$5:$K$25,2,FALSE),0)+E35)</f>
        <v/>
      </c>
      <c r="G35" s="13" t="n"/>
    </row>
    <row r="36">
      <c r="A36" s="13" t="n"/>
      <c r="B36" s="13" t="n"/>
      <c r="C36" s="13" t="n"/>
      <c r="D36" s="13" t="n"/>
      <c r="E36" s="13" t="n"/>
      <c r="F36" s="14">
        <f>IF(B36="","",C36*IFERROR(VLOOKUP(B36,$J$5:$K$25,2,FALSE),0)*12+D36*IFERROR(VLOOKUP(B36,$J$5:$K$25,2,FALSE),0)+E36)</f>
        <v/>
      </c>
      <c r="G36" s="13" t="n"/>
    </row>
    <row r="37">
      <c r="A37" s="13" t="n"/>
      <c r="B37" s="13" t="n"/>
      <c r="C37" s="13" t="n"/>
      <c r="D37" s="13" t="n"/>
      <c r="E37" s="13" t="n"/>
      <c r="F37" s="14">
        <f>IF(B37="","",C37*IFERROR(VLOOKUP(B37,$J$5:$K$25,2,FALSE),0)*12+D37*IFERROR(VLOOKUP(B37,$J$5:$K$25,2,FALSE),0)+E37)</f>
        <v/>
      </c>
      <c r="G37" s="13" t="n"/>
    </row>
    <row r="38">
      <c r="A38" s="13" t="n"/>
      <c r="B38" s="13" t="n"/>
      <c r="C38" s="13" t="n"/>
      <c r="D38" s="13" t="n"/>
      <c r="E38" s="13" t="n"/>
      <c r="F38" s="14">
        <f>IF(B38="","",C38*IFERROR(VLOOKUP(B38,$J$5:$K$25,2,FALSE),0)*12+D38*IFERROR(VLOOKUP(B38,$J$5:$K$25,2,FALSE),0)+E38)</f>
        <v/>
      </c>
      <c r="G38" s="13" t="n"/>
    </row>
    <row r="39">
      <c r="A39" s="13" t="n"/>
      <c r="B39" s="13" t="n"/>
      <c r="C39" s="13" t="n"/>
      <c r="D39" s="13" t="n"/>
      <c r="E39" s="13" t="n"/>
      <c r="F39" s="14">
        <f>IF(B39="","",C39*IFERROR(VLOOKUP(B39,$J$5:$K$25,2,FALSE),0)*12+D39*IFERROR(VLOOKUP(B39,$J$5:$K$25,2,FALSE),0)+E39)</f>
        <v/>
      </c>
      <c r="G39" s="13" t="n"/>
    </row>
    <row r="40">
      <c r="A40" s="13" t="n"/>
      <c r="B40" s="13" t="n"/>
      <c r="C40" s="13" t="n"/>
      <c r="D40" s="13" t="n"/>
      <c r="E40" s="13" t="n"/>
      <c r="F40" s="14">
        <f>IF(B40="","",C40*IFERROR(VLOOKUP(B40,$J$5:$K$25,2,FALSE),0)*12+D40*IFERROR(VLOOKUP(B40,$J$5:$K$25,2,FALSE),0)+E40)</f>
        <v/>
      </c>
      <c r="G40" s="13" t="n"/>
    </row>
    <row r="41">
      <c r="A41" s="13" t="n"/>
      <c r="B41" s="13" t="n"/>
      <c r="C41" s="13" t="n"/>
      <c r="D41" s="13" t="n"/>
      <c r="E41" s="13" t="n"/>
      <c r="F41" s="14">
        <f>IF(B41="","",C41*IFERROR(VLOOKUP(B41,$J$5:$K$25,2,FALSE),0)*12+D41*IFERROR(VLOOKUP(B41,$J$5:$K$25,2,FALSE),0)+E41)</f>
        <v/>
      </c>
      <c r="G41" s="13" t="n"/>
    </row>
    <row r="42">
      <c r="A42" s="13" t="n"/>
      <c r="B42" s="13" t="n"/>
      <c r="C42" s="13" t="n"/>
      <c r="D42" s="13" t="n"/>
      <c r="E42" s="13" t="n"/>
      <c r="F42" s="14">
        <f>IF(B42="","",C42*IFERROR(VLOOKUP(B42,$J$5:$K$25,2,FALSE),0)*12+D42*IFERROR(VLOOKUP(B42,$J$5:$K$25,2,FALSE),0)+E42)</f>
        <v/>
      </c>
      <c r="G42" s="13" t="n"/>
    </row>
    <row r="43">
      <c r="A43" s="13" t="n"/>
      <c r="B43" s="13" t="n"/>
      <c r="C43" s="13" t="n"/>
      <c r="D43" s="13" t="n"/>
      <c r="E43" s="13" t="n"/>
      <c r="F43" s="14">
        <f>IF(B43="","",C43*IFERROR(VLOOKUP(B43,$J$5:$K$25,2,FALSE),0)*12+D43*IFERROR(VLOOKUP(B43,$J$5:$K$25,2,FALSE),0)+E43)</f>
        <v/>
      </c>
      <c r="G43" s="13" t="n"/>
    </row>
    <row r="44">
      <c r="A44" s="13" t="n"/>
      <c r="B44" s="13" t="n"/>
      <c r="C44" s="13" t="n"/>
      <c r="D44" s="13" t="n"/>
      <c r="E44" s="13" t="n"/>
      <c r="F44" s="14">
        <f>IF(B44="","",C44*IFERROR(VLOOKUP(B44,$J$5:$K$25,2,FALSE),0)*12+D44*IFERROR(VLOOKUP(B44,$J$5:$K$25,2,FALSE),0)+E44)</f>
        <v/>
      </c>
      <c r="G44" s="13" t="n"/>
    </row>
    <row r="45">
      <c r="A45" s="13" t="n"/>
      <c r="B45" s="13" t="n"/>
      <c r="C45" s="13" t="n"/>
      <c r="D45" s="13" t="n"/>
      <c r="E45" s="13" t="n"/>
      <c r="F45" s="14">
        <f>IF(B45="","",C45*IFERROR(VLOOKUP(B45,$J$5:$K$25,2,FALSE),0)*12+D45*IFERROR(VLOOKUP(B45,$J$5:$K$25,2,FALSE),0)+E45)</f>
        <v/>
      </c>
      <c r="G45" s="13" t="n"/>
    </row>
    <row r="46">
      <c r="A46" s="13" t="n"/>
      <c r="B46" s="13" t="n"/>
      <c r="C46" s="13" t="n"/>
      <c r="D46" s="13" t="n"/>
      <c r="E46" s="13" t="n"/>
      <c r="F46" s="14">
        <f>IF(B46="","",C46*IFERROR(VLOOKUP(B46,$J$5:$K$25,2,FALSE),0)*12+D46*IFERROR(VLOOKUP(B46,$J$5:$K$25,2,FALSE),0)+E46)</f>
        <v/>
      </c>
      <c r="G46" s="13" t="n"/>
    </row>
    <row r="47">
      <c r="A47" s="13" t="n"/>
      <c r="B47" s="13" t="n"/>
      <c r="C47" s="13" t="n"/>
      <c r="D47" s="13" t="n"/>
      <c r="E47" s="13" t="n"/>
      <c r="F47" s="14">
        <f>IF(B47="","",C47*IFERROR(VLOOKUP(B47,$J$5:$K$25,2,FALSE),0)*12+D47*IFERROR(VLOOKUP(B47,$J$5:$K$25,2,FALSE),0)+E47)</f>
        <v/>
      </c>
      <c r="G47" s="13" t="n"/>
    </row>
    <row r="48">
      <c r="A48" s="13" t="n"/>
      <c r="B48" s="13" t="n"/>
      <c r="C48" s="13" t="n"/>
      <c r="D48" s="13" t="n"/>
      <c r="E48" s="13" t="n"/>
      <c r="F48" s="14">
        <f>IF(B48="","",C48*IFERROR(VLOOKUP(B48,$J$5:$K$25,2,FALSE),0)*12+D48*IFERROR(VLOOKUP(B48,$J$5:$K$25,2,FALSE),0)+E48)</f>
        <v/>
      </c>
      <c r="G48" s="13" t="n"/>
    </row>
    <row r="49">
      <c r="A49" s="13" t="n"/>
      <c r="B49" s="13" t="n"/>
      <c r="C49" s="13" t="n"/>
      <c r="D49" s="13" t="n"/>
      <c r="E49" s="13" t="n"/>
      <c r="F49" s="14">
        <f>IF(B49="","",C49*IFERROR(VLOOKUP(B49,$J$5:$K$25,2,FALSE),0)*12+D49*IFERROR(VLOOKUP(B49,$J$5:$K$25,2,FALSE),0)+E49)</f>
        <v/>
      </c>
      <c r="G49" s="13" t="n"/>
    </row>
    <row r="50">
      <c r="A50" s="13" t="n"/>
      <c r="B50" s="13" t="n"/>
      <c r="C50" s="13" t="n"/>
      <c r="D50" s="13" t="n"/>
      <c r="E50" s="13" t="n"/>
      <c r="F50" s="14">
        <f>IF(B50="","",C50*IFERROR(VLOOKUP(B50,$J$5:$K$25,2,FALSE),0)*12+D50*IFERROR(VLOOKUP(B50,$J$5:$K$25,2,FALSE),0)+E50)</f>
        <v/>
      </c>
      <c r="G50" s="13" t="n"/>
    </row>
    <row r="51">
      <c r="A51" s="13" t="n"/>
      <c r="B51" s="13" t="n"/>
      <c r="C51" s="13" t="n"/>
      <c r="D51" s="13" t="n"/>
      <c r="E51" s="13" t="n"/>
      <c r="F51" s="14">
        <f>IF(B51="","",C51*IFERROR(VLOOKUP(B51,$J$5:$K$25,2,FALSE),0)*12+D51*IFERROR(VLOOKUP(B51,$J$5:$K$25,2,FALSE),0)+E51)</f>
        <v/>
      </c>
      <c r="G51" s="13" t="n"/>
    </row>
    <row r="52">
      <c r="A52" s="13" t="n"/>
      <c r="B52" s="13" t="n"/>
      <c r="C52" s="13" t="n"/>
      <c r="D52" s="13" t="n"/>
      <c r="E52" s="13" t="n"/>
      <c r="F52" s="14">
        <f>IF(B52="","",C52*IFERROR(VLOOKUP(B52,$J$5:$K$25,2,FALSE),0)*12+D52*IFERROR(VLOOKUP(B52,$J$5:$K$25,2,FALSE),0)+E52)</f>
        <v/>
      </c>
      <c r="G52" s="13" t="n"/>
    </row>
    <row r="53">
      <c r="A53" s="13" t="n"/>
      <c r="B53" s="13" t="n"/>
      <c r="C53" s="13" t="n"/>
      <c r="D53" s="13" t="n"/>
      <c r="E53" s="13" t="n"/>
      <c r="F53" s="14">
        <f>IF(B53="","",C53*IFERROR(VLOOKUP(B53,$J$5:$K$25,2,FALSE),0)*12+D53*IFERROR(VLOOKUP(B53,$J$5:$K$25,2,FALSE),0)+E53)</f>
        <v/>
      </c>
      <c r="G53" s="13" t="n"/>
    </row>
    <row r="54">
      <c r="A54" s="13" t="n"/>
      <c r="B54" s="13" t="n"/>
      <c r="C54" s="13" t="n"/>
      <c r="D54" s="13" t="n"/>
      <c r="E54" s="13" t="n"/>
      <c r="F54" s="14">
        <f>IF(B54="","",C54*IFERROR(VLOOKUP(B54,$J$5:$K$25,2,FALSE),0)*12+D54*IFERROR(VLOOKUP(B54,$J$5:$K$25,2,FALSE),0)+E54)</f>
        <v/>
      </c>
      <c r="G54" s="13" t="n"/>
    </row>
    <row r="55">
      <c r="A55" s="13" t="n"/>
      <c r="B55" s="13" t="n"/>
      <c r="C55" s="13" t="n"/>
      <c r="D55" s="13" t="n"/>
      <c r="E55" s="13" t="n"/>
      <c r="F55" s="14">
        <f>IF(B55="","",C55*IFERROR(VLOOKUP(B55,$J$5:$K$25,2,FALSE),0)*12+D55*IFERROR(VLOOKUP(B55,$J$5:$K$25,2,FALSE),0)+E55)</f>
        <v/>
      </c>
      <c r="G55" s="13" t="n"/>
    </row>
    <row r="56">
      <c r="A56" s="13" t="n"/>
      <c r="B56" s="13" t="n"/>
      <c r="C56" s="13" t="n"/>
      <c r="D56" s="13" t="n"/>
      <c r="E56" s="13" t="n"/>
      <c r="F56" s="14">
        <f>IF(B56="","",C56*IFERROR(VLOOKUP(B56,$J$5:$K$25,2,FALSE),0)*12+D56*IFERROR(VLOOKUP(B56,$J$5:$K$25,2,FALSE),0)+E56)</f>
        <v/>
      </c>
      <c r="G56" s="13" t="n"/>
    </row>
    <row r="57">
      <c r="A57" s="13" t="n"/>
      <c r="B57" s="13" t="n"/>
      <c r="C57" s="13" t="n"/>
      <c r="D57" s="13" t="n"/>
      <c r="E57" s="13" t="n"/>
      <c r="F57" s="14">
        <f>IF(B57="","",C57*IFERROR(VLOOKUP(B57,$J$5:$K$25,2,FALSE),0)*12+D57*IFERROR(VLOOKUP(B57,$J$5:$K$25,2,FALSE),0)+E57)</f>
        <v/>
      </c>
      <c r="G57" s="13" t="n"/>
    </row>
    <row r="58">
      <c r="A58" s="13" t="n"/>
      <c r="B58" s="13" t="n"/>
      <c r="C58" s="13" t="n"/>
      <c r="D58" s="13" t="n"/>
      <c r="E58" s="13" t="n"/>
      <c r="F58" s="14">
        <f>IF(B58="","",C58*IFERROR(VLOOKUP(B58,$J$5:$K$25,2,FALSE),0)*12+D58*IFERROR(VLOOKUP(B58,$J$5:$K$25,2,FALSE),0)+E58)</f>
        <v/>
      </c>
      <c r="G58" s="13" t="n"/>
    </row>
    <row r="59">
      <c r="A59" s="13" t="n"/>
      <c r="B59" s="13" t="n"/>
      <c r="C59" s="13" t="n"/>
      <c r="D59" s="13" t="n"/>
      <c r="E59" s="13" t="n"/>
      <c r="F59" s="14">
        <f>IF(B59="","",C59*IFERROR(VLOOKUP(B59,$J$5:$K$25,2,FALSE),0)*12+D59*IFERROR(VLOOKUP(B59,$J$5:$K$25,2,FALSE),0)+E59)</f>
        <v/>
      </c>
      <c r="G59" s="13" t="n"/>
    </row>
    <row r="60">
      <c r="A60" s="13" t="n"/>
      <c r="B60" s="13" t="n"/>
      <c r="C60" s="13" t="n"/>
      <c r="D60" s="13" t="n"/>
      <c r="E60" s="13" t="n"/>
      <c r="F60" s="14">
        <f>IF(B60="","",C60*IFERROR(VLOOKUP(B60,$J$5:$K$25,2,FALSE),0)*12+D60*IFERROR(VLOOKUP(B60,$J$5:$K$25,2,FALSE),0)+E60)</f>
        <v/>
      </c>
      <c r="G60" s="13" t="n"/>
    </row>
    <row r="61">
      <c r="A61" s="13" t="n"/>
      <c r="B61" s="13" t="n"/>
      <c r="C61" s="13" t="n"/>
      <c r="D61" s="13" t="n"/>
      <c r="E61" s="13" t="n"/>
      <c r="F61" s="14">
        <f>IF(B61="","",C61*IFERROR(VLOOKUP(B61,$J$5:$K$25,2,FALSE),0)*12+D61*IFERROR(VLOOKUP(B61,$J$5:$K$25,2,FALSE),0)+E61)</f>
        <v/>
      </c>
      <c r="G61" s="13" t="n"/>
    </row>
    <row r="62">
      <c r="A62" s="13" t="n"/>
      <c r="B62" s="13" t="n"/>
      <c r="C62" s="13" t="n"/>
      <c r="D62" s="13" t="n"/>
      <c r="E62" s="13" t="n"/>
      <c r="F62" s="14">
        <f>IF(B62="","",C62*IFERROR(VLOOKUP(B62,$J$5:$K$25,2,FALSE),0)*12+D62*IFERROR(VLOOKUP(B62,$J$5:$K$25,2,FALSE),0)+E62)</f>
        <v/>
      </c>
      <c r="G62" s="13" t="n"/>
    </row>
    <row r="63">
      <c r="A63" s="13" t="n"/>
      <c r="B63" s="13" t="n"/>
      <c r="C63" s="13" t="n"/>
      <c r="D63" s="13" t="n"/>
      <c r="E63" s="13" t="n"/>
      <c r="F63" s="14">
        <f>IF(B63="","",C63*IFERROR(VLOOKUP(B63,$J$5:$K$25,2,FALSE),0)*12+D63*IFERROR(VLOOKUP(B63,$J$5:$K$25,2,FALSE),0)+E63)</f>
        <v/>
      </c>
      <c r="G63" s="13" t="n"/>
    </row>
    <row r="64">
      <c r="A64" s="13" t="n"/>
      <c r="B64" s="13" t="n"/>
      <c r="C64" s="13" t="n"/>
      <c r="D64" s="13" t="n"/>
      <c r="E64" s="13" t="n"/>
      <c r="F64" s="14">
        <f>IF(B64="","",C64*IFERROR(VLOOKUP(B64,$J$5:$K$25,2,FALSE),0)*12+D64*IFERROR(VLOOKUP(B64,$J$5:$K$25,2,FALSE),0)+E64)</f>
        <v/>
      </c>
      <c r="G64" s="13" t="n"/>
    </row>
    <row r="67">
      <c r="A67" s="16" t="inlineStr">
        <is>
          <t>👥 User Reference (อ้างอิง · อย่าแก้)</t>
        </is>
      </c>
    </row>
    <row r="68">
      <c r="A68" s="17" t="inlineStr">
        <is>
          <t>username</t>
        </is>
      </c>
      <c r="B68" s="17" t="inlineStr">
        <is>
          <t>display_name</t>
        </is>
      </c>
      <c r="C68" s="17" t="inlineStr">
        <is>
          <t>role</t>
        </is>
      </c>
    </row>
    <row r="69">
      <c r="A69" s="15" t="inlineStr">
        <is>
          <t>divisionxcard</t>
        </is>
      </c>
      <c r="B69" s="15" t="inlineStr">
        <is>
          <t>DivisionX Card</t>
        </is>
      </c>
      <c r="C69" s="15" t="inlineStr">
        <is>
          <t>admin</t>
        </is>
      </c>
    </row>
    <row r="70">
      <c r="A70" s="15" t="inlineStr">
        <is>
          <t>pornthep_sm1991</t>
        </is>
      </c>
      <c r="B70" s="15" t="inlineStr">
        <is>
          <t>T</t>
        </is>
      </c>
      <c r="C70" s="15" t="inlineStr">
        <is>
          <t>admin</t>
        </is>
      </c>
    </row>
    <row r="71">
      <c r="A71" s="15" t="inlineStr">
        <is>
          <t>aofwara66</t>
        </is>
      </c>
      <c r="B71" s="15" t="inlineStr">
        <is>
          <t>AOFSEN</t>
        </is>
      </c>
      <c r="C71" s="15" t="inlineStr">
        <is>
          <t>user</t>
        </is>
      </c>
    </row>
    <row r="72">
      <c r="A72" s="15" t="inlineStr">
        <is>
          <t>power23n</t>
        </is>
      </c>
      <c r="B72" s="15" t="inlineStr">
        <is>
          <t>พี่ M</t>
        </is>
      </c>
      <c r="C72" s="15" t="inlineStr">
        <is>
          <t>user</t>
        </is>
      </c>
    </row>
    <row r="73">
      <c r="A73" s="15" t="inlineStr">
        <is>
          <t>mzadiz1989</t>
        </is>
      </c>
      <c r="B73" s="15" t="inlineStr">
        <is>
          <t>M-zadiz</t>
        </is>
      </c>
      <c r="C73" s="15" t="inlineStr">
        <is>
          <t>user</t>
        </is>
      </c>
    </row>
  </sheetData>
  <mergeCells count="3">
    <mergeCell ref="J4:K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2026-04-27T08:44:01Z</dcterms:created>
  <dcterms:modified xsi:type="dcterms:W3CDTF">2026-04-27T08:44:01Z</dcterms:modified>
</cp:coreProperties>
</file>